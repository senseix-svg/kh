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.E.T\Grade 8\"/>
    </mc:Choice>
  </mc:AlternateContent>
  <xr:revisionPtr revIDLastSave="0" documentId="13_ncr:1_{359AD634-2247-4F72-99F1-161EE58AF207}" xr6:coauthVersionLast="47" xr6:coauthVersionMax="47" xr10:uidLastSave="{00000000-0000-0000-0000-000000000000}"/>
  <bookViews>
    <workbookView xWindow="-120" yWindow="-120" windowWidth="29040" windowHeight="17520" activeTab="1" xr2:uid="{BAF27133-5C48-48B9-96FD-04132D57D046}"/>
  </bookViews>
  <sheets>
    <sheet name="November Results" sheetId="1" r:id="rId1"/>
    <sheet name="December" sheetId="7" r:id="rId2"/>
    <sheet name="December Results " sheetId="3" r:id="rId3"/>
    <sheet name="Time Management" sheetId="5" r:id="rId4"/>
    <sheet name="Rul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7" l="1"/>
  <c r="J29" i="7"/>
  <c r="J26" i="7"/>
  <c r="J22" i="7"/>
  <c r="I29" i="7"/>
  <c r="I22" i="7"/>
  <c r="H28" i="7"/>
  <c r="H20" i="7"/>
  <c r="G29" i="7"/>
  <c r="G28" i="7"/>
  <c r="G26" i="7"/>
  <c r="M29" i="7"/>
  <c r="L29" i="7"/>
  <c r="K29" i="7"/>
  <c r="H29" i="7"/>
  <c r="O28" i="1"/>
  <c r="O14" i="1"/>
  <c r="R10" i="1"/>
  <c r="R8" i="1"/>
  <c r="P71" i="1"/>
  <c r="P70" i="1"/>
  <c r="K9" i="3"/>
  <c r="L31" i="3"/>
  <c r="L24" i="3"/>
  <c r="L17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10" i="3"/>
  <c r="K62" i="1"/>
  <c r="M44" i="1"/>
  <c r="M47" i="1" s="1"/>
  <c r="M31" i="1"/>
  <c r="L62" i="1"/>
  <c r="J62" i="1"/>
  <c r="I62" i="1"/>
  <c r="H62" i="1"/>
  <c r="G62" i="1"/>
  <c r="M62" i="1"/>
  <c r="L47" i="1"/>
  <c r="K47" i="1"/>
  <c r="J47" i="1"/>
  <c r="I47" i="1"/>
  <c r="H47" i="1"/>
  <c r="G47" i="1"/>
  <c r="L31" i="1"/>
  <c r="K31" i="1"/>
  <c r="J31" i="1"/>
  <c r="I31" i="1"/>
  <c r="H31" i="1"/>
  <c r="G31" i="1"/>
  <c r="J15" i="1"/>
  <c r="K15" i="1"/>
  <c r="L15" i="1"/>
  <c r="M15" i="1"/>
  <c r="I15" i="1"/>
  <c r="H15" i="1"/>
  <c r="G15" i="1"/>
  <c r="R9" i="1" l="1"/>
  <c r="R11" i="1" s="1"/>
  <c r="G70" i="1"/>
  <c r="H70" i="1"/>
  <c r="G16" i="1"/>
  <c r="I70" i="1"/>
  <c r="L9" i="3"/>
  <c r="M9" i="3" s="1"/>
  <c r="L70" i="1"/>
  <c r="K70" i="1"/>
  <c r="J70" i="1"/>
  <c r="M70" i="1"/>
  <c r="G63" i="1"/>
  <c r="G64" i="1" s="1"/>
  <c r="G48" i="1"/>
  <c r="G49" i="1" s="1"/>
  <c r="G32" i="1"/>
  <c r="G33" i="1" s="1"/>
  <c r="G71" i="1" l="1"/>
</calcChain>
</file>

<file path=xl/sharedStrings.xml><?xml version="1.0" encoding="utf-8"?>
<sst xmlns="http://schemas.openxmlformats.org/spreadsheetml/2006/main" count="184" uniqueCount="51">
  <si>
    <t>No/Date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</si>
  <si>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</si>
  <si>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</si>
  <si>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</si>
  <si>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</si>
  <si>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</si>
  <si>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</si>
  <si>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</si>
  <si>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</si>
  <si>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Sum</t>
  </si>
  <si>
    <t xml:space="preserve">Income Statement </t>
  </si>
  <si>
    <t>Novemver 2024</t>
  </si>
  <si>
    <t>-</t>
  </si>
  <si>
    <t>Ratio</t>
  </si>
  <si>
    <t>CONSISTENCY IS THE KEY OF THIS GAME</t>
  </si>
  <si>
    <t>Montly Results</t>
  </si>
  <si>
    <t>A day/month</t>
  </si>
  <si>
    <t xml:space="preserve">CONSISTENCY  IS THE KEY </t>
  </si>
  <si>
    <t xml:space="preserve">Date </t>
  </si>
  <si>
    <t>Entry</t>
  </si>
  <si>
    <t xml:space="preserve">1st </t>
  </si>
  <si>
    <t>2nd</t>
  </si>
  <si>
    <t>3rd</t>
  </si>
  <si>
    <t>4th</t>
  </si>
  <si>
    <t>5th</t>
  </si>
  <si>
    <t>TRADING SESSION REPORT FOR DECEMBER</t>
  </si>
  <si>
    <t>Week I</t>
  </si>
  <si>
    <t>Week II</t>
  </si>
  <si>
    <t>Week III</t>
  </si>
  <si>
    <t>Week IV</t>
  </si>
  <si>
    <t>NO. Week</t>
  </si>
  <si>
    <t>Daily Ratio</t>
  </si>
  <si>
    <t>Weekly Ratio</t>
  </si>
  <si>
    <t>Monthly Ratio</t>
  </si>
  <si>
    <t>l</t>
  </si>
  <si>
    <t>1. Focus on the most important task first.</t>
  </si>
  <si>
    <t>2. Don't procrastinate and deligate routine tasks.</t>
  </si>
  <si>
    <t>3. Prioritize tasks.</t>
  </si>
  <si>
    <t>4. Fix a specific time for attending phone calls 
and answer e-mails.</t>
  </si>
  <si>
    <t>5. Eliminate unnecessary paperwork.</t>
  </si>
  <si>
    <t xml:space="preserve">1. Rules best trading </t>
  </si>
  <si>
    <t>2. Do not trade on motioned</t>
  </si>
  <si>
    <t xml:space="preserve">3. proper risk Management </t>
  </si>
  <si>
    <t xml:space="preserve">4. Do not over trade </t>
  </si>
  <si>
    <t>5. Do Not revenge trade</t>
  </si>
  <si>
    <t>Case WWW</t>
  </si>
  <si>
    <t>Case WW</t>
  </si>
  <si>
    <t>Case I</t>
  </si>
  <si>
    <t>Case II</t>
  </si>
  <si>
    <t>Case III</t>
  </si>
  <si>
    <t xml:space="preserve">Two Chances Money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</si>
</sst>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2"/>
      <color theme="1"/>
      <name val="Garamond"/>
      <family val="1"/>
    </font>
    <font>
      <sz val="8"/>
      <name val="Calibri"/>
      <family val="2"/>
      <scheme val="minor"/>
    </font>
    <font>
      <sz val="14"/>
      <color rgb="FFFF0000"/>
      <name val="Times New Roman"/>
      <family val="1"/>
    </font>
    <font>
      <sz val="28"/>
      <color rgb="FF00B050"/>
      <name val="Times New Roman"/>
      <family val="1"/>
    </font>
    <font>
      <sz val="26"/>
      <color theme="1"/>
      <name val="Times New Roman"/>
      <family val="1"/>
    </font>
    <font>
      <sz val="28"/>
      <color theme="1"/>
      <name val="Times New Roman"/>
      <family val="1"/>
    </font>
    <font>
      <sz val="28"/>
      <color theme="1"/>
      <name val="Garamond"/>
      <family val="1"/>
    </font>
    <font>
      <sz val="28"/>
      <color theme="2" tint="-0.749992370372631"/>
      <name val="Times New Roman"/>
      <family val="1"/>
    </font>
    <font>
      <sz val="28"/>
      <name val="Times New Roman"/>
      <family val="1"/>
    </font>
    <font>
      <sz val="72"/>
      <color theme="1"/>
      <name val="Garamond"/>
      <family val="1"/>
    </font>
    <font>
      <sz val="14"/>
      <color rgb="FF002060"/>
      <name val="Times New Roman"/>
      <family val="1"/>
    </font>
    <font>
      <sz val="20"/>
      <color theme="1"/>
      <name val="Times New Roman"/>
      <family val="1"/>
    </font>
    <font>
      <sz val="36"/>
      <color theme="1"/>
      <name val="Times New Roman"/>
      <family val="1"/>
    </font>
    <font>
      <sz val="24"/>
      <color theme="1"/>
      <name val="Times New Roman"/>
      <family val="1"/>
    </font>
    <font>
      <sz val="14"/>
      <color theme="2" tint="-0.749992370372631"/>
      <name val="Times New Roman"/>
      <family val="1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10" borderId="1" xfId="1" applyNumberFormat="1" applyFont="1" applyFill="1" applyBorder="1" applyAlignment="1">
      <alignment horizontal="center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6" fillId="0" borderId="0" xfId="0" applyFont="1"/>
    <xf numFmtId="164" fontId="17" fillId="0" borderId="31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4" fontId="17" fillId="0" borderId="3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164" fontId="17" fillId="12" borderId="3" xfId="0" applyNumberFormat="1" applyFont="1" applyFill="1" applyBorder="1" applyAlignment="1">
      <alignment horizontal="center" vertical="center"/>
    </xf>
    <xf numFmtId="164" fontId="17" fillId="12" borderId="32" xfId="0" applyNumberFormat="1" applyFont="1" applyFill="1" applyBorder="1" applyAlignment="1">
      <alignment horizontal="center" vertical="center"/>
    </xf>
    <xf numFmtId="164" fontId="17" fillId="12" borderId="31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8" fillId="13" borderId="1" xfId="1" applyNumberFormat="1" applyFont="1" applyFill="1" applyBorder="1" applyAlignment="1">
      <alignment horizontal="center" vertic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22" xfId="0" applyFont="1" applyBorder="1"/>
    <xf numFmtId="0" fontId="13" fillId="0" borderId="0" xfId="0" applyFont="1"/>
    <xf numFmtId="0" fontId="7" fillId="0" borderId="1" xfId="0" applyFont="1" applyBorder="1" applyAlignment="1">
      <alignment vertical="center"/>
    </xf>
    <xf numFmtId="9" fontId="7" fillId="0" borderId="1" xfId="0" applyNumberFormat="1" applyFont="1" applyBorder="1" applyAlignment="1">
      <alignment vertical="center"/>
    </xf>
    <xf numFmtId="165" fontId="7" fillId="0" borderId="1" xfId="2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9" fontId="6" fillId="4" borderId="2" xfId="1" applyFont="1" applyFill="1" applyBorder="1" applyAlignment="1">
      <alignment horizontal="center"/>
    </xf>
    <xf numFmtId="9" fontId="6" fillId="4" borderId="3" xfId="1" applyFont="1" applyFill="1" applyBorder="1" applyAlignment="1">
      <alignment horizontal="center"/>
    </xf>
    <xf numFmtId="9" fontId="6" fillId="4" borderId="4" xfId="1" applyFont="1" applyFill="1" applyBorder="1" applyAlignment="1">
      <alignment horizontal="center"/>
    </xf>
    <xf numFmtId="9" fontId="15" fillId="0" borderId="1" xfId="1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9" fontId="6" fillId="8" borderId="2" xfId="1" applyFont="1" applyFill="1" applyBorder="1" applyAlignment="1">
      <alignment horizontal="center" vertical="center"/>
    </xf>
    <xf numFmtId="9" fontId="6" fillId="8" borderId="3" xfId="1" applyFont="1" applyFill="1" applyBorder="1" applyAlignment="1">
      <alignment horizontal="center" vertical="center"/>
    </xf>
    <xf numFmtId="9" fontId="6" fillId="8" borderId="4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6" fillId="4" borderId="2" xfId="1" applyNumberFormat="1" applyFont="1" applyFill="1" applyBorder="1" applyAlignment="1">
      <alignment horizontal="center"/>
    </xf>
    <xf numFmtId="10" fontId="6" fillId="4" borderId="3" xfId="1" applyNumberFormat="1" applyFont="1" applyFill="1" applyBorder="1" applyAlignment="1">
      <alignment horizontal="center"/>
    </xf>
    <xf numFmtId="10" fontId="6" fillId="4" borderId="4" xfId="1" applyNumberFormat="1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7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6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6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65</xdr:row>
      <xdr:rowOff>51955</xdr:rowOff>
    </xdr:from>
    <xdr:to>
      <xdr:col>13</xdr:col>
      <xdr:colOff>17318</xdr:colOff>
      <xdr:row>66</xdr:row>
      <xdr:rowOff>409298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F3DD9-DA1F-0801-4FE5-B1DD42C14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0682" y="27432000"/>
          <a:ext cx="23622000" cy="5552798"/>
        </a:xfrm>
        <a:prstGeom prst="rect">
          <a:avLst/>
        </a:prstGeom>
      </xdr:spPr>
    </xdr:pic>
    <xdr:clientData/>
  </xdr:twoCellAnchor>
  <xdr:twoCellAnchor editAs="oneCell">
    <xdr:from>
      <xdr:col>14</xdr:col>
      <xdr:colOff>17318</xdr:colOff>
      <xdr:row>65</xdr:row>
      <xdr:rowOff>1524000</xdr:rowOff>
    </xdr:from>
    <xdr:to>
      <xdr:col>16</xdr:col>
      <xdr:colOff>121229</xdr:colOff>
      <xdr:row>65</xdr:row>
      <xdr:rowOff>2615046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1905AA-19E5-2D3D-2CC6-4C93FD92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58818" y="28904045"/>
          <a:ext cx="5074229" cy="1091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1279072</xdr:colOff>
      <xdr:row>31</xdr:row>
      <xdr:rowOff>27203</xdr:rowOff>
    </xdr:from>
    <xdr:to>
      <xdr:col>7</xdr:col>
      <xdr:colOff>27215</xdr:colOff>
      <xdr:row>60</xdr:row>
      <xdr:rowOff>52799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755D9-1EC8-133F-A52B-BB06674D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0679" y="10518310"/>
          <a:ext cx="3020786" cy="5550096"/>
        </a:xfrm>
        <a:prstGeom prst="rect">
          <a:avLst/>
        </a:prstGeom>
      </xdr:spPr>
    </xdr:pic>
    <xdr:clientData/>
  </xdr:twoCellAnchor>
  <xdr:twoCellAnchor editAs="oneCell">
    <xdr:from>
      <xdr:col>7</xdr:col>
      <xdr:colOff>54428</xdr:colOff>
      <xdr:row>31</xdr:row>
      <xdr:rowOff>13606</xdr:rowOff>
    </xdr:from>
    <xdr:to>
      <xdr:col>7</xdr:col>
      <xdr:colOff>2893539</xdr:colOff>
      <xdr:row>65</xdr:row>
      <xdr:rowOff>136072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D772D5-8D7E-F03D-CE05-691D09C0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8678" y="10504713"/>
          <a:ext cx="2839111" cy="6599466"/>
        </a:xfrm>
        <a:prstGeom prst="rect">
          <a:avLst/>
        </a:prstGeom>
      </xdr:spPr>
    </xdr:pic>
    <xdr:clientData/>
  </xdr:twoCellAnchor>
  <xdr:twoCellAnchor editAs="oneCell">
    <xdr:from>
      <xdr:col>7</xdr:col>
      <xdr:colOff>2933701</xdr:colOff>
      <xdr:row>34</xdr:row>
      <xdr:rowOff>152400</xdr:rowOff>
    </xdr:from>
    <xdr:to>
      <xdr:col>9</xdr:col>
      <xdr:colOff>34571</xdr:colOff>
      <xdr:row>60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22386B-1509-8345-9116-10D601D4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6" y="11163300"/>
          <a:ext cx="3006370" cy="486727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34</xdr:row>
      <xdr:rowOff>66675</xdr:rowOff>
    </xdr:from>
    <xdr:to>
      <xdr:col>10</xdr:col>
      <xdr:colOff>362422</xdr:colOff>
      <xdr:row>85</xdr:row>
      <xdr:rowOff>58505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BFEDA8-F2BE-9373-6BBA-4E7FBCD5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8325" y="11077575"/>
          <a:ext cx="3381847" cy="9707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777E-AACA-4862-8715-F225CF25F245}">
  <dimension ref="A1:AQ277"/>
  <sheetViews>
    <sheetView zoomScale="40" zoomScaleNormal="40" workbookViewId="0">
      <selection activeCell="F2" sqref="F2:M17"/>
    </sheetView>
  </sheetViews>
  <sheetFormatPr defaultRowHeight="15" x14ac:dyDescent="0.25"/>
  <cols>
    <col min="5" max="5" width="9.140625" customWidth="1"/>
    <col min="6" max="6" width="32.28515625" customWidth="1"/>
    <col min="7" max="13" width="45.85546875" bestFit="1" customWidth="1"/>
    <col min="15" max="15" width="29.42578125" bestFit="1" customWidth="1"/>
    <col min="16" max="17" width="45.28515625" customWidth="1"/>
    <col min="18" max="21" width="45.28515625" bestFit="1" customWidth="1"/>
    <col min="22" max="22" width="48.140625" bestFit="1" customWidth="1"/>
  </cols>
  <sheetData>
    <row r="1" spans="1:43" ht="18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2" customHeight="1" x14ac:dyDescent="0.3">
      <c r="A2" s="1"/>
      <c r="B2" s="1"/>
      <c r="C2" s="1"/>
      <c r="D2" s="1"/>
      <c r="E2" s="1"/>
      <c r="F2" s="66" t="s">
        <v>14</v>
      </c>
      <c r="G2" s="67"/>
      <c r="H2" s="67"/>
      <c r="I2" s="67"/>
      <c r="J2" s="67"/>
      <c r="K2" s="67"/>
      <c r="L2" s="67"/>
      <c r="M2" s="6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58.5" customHeight="1" x14ac:dyDescent="0.3">
      <c r="A3" s="1"/>
      <c r="B3" s="1"/>
      <c r="C3" s="1"/>
      <c r="D3" s="1"/>
      <c r="E3" s="1"/>
      <c r="F3" s="67"/>
      <c r="G3" s="67"/>
      <c r="H3" s="67"/>
      <c r="I3" s="67"/>
      <c r="J3" s="67"/>
      <c r="K3" s="67"/>
      <c r="L3" s="67"/>
      <c r="M3" s="6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8.7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6" x14ac:dyDescent="0.55000000000000004">
      <c r="A6" s="1"/>
      <c r="B6" s="1"/>
      <c r="C6" s="1"/>
      <c r="D6" s="1"/>
      <c r="E6" s="1"/>
      <c r="F6" s="60" t="s">
        <v>11</v>
      </c>
      <c r="G6" s="61"/>
      <c r="H6" s="61"/>
      <c r="I6" s="61"/>
      <c r="J6" s="61"/>
      <c r="K6" s="61"/>
      <c r="L6" s="61"/>
      <c r="M6" s="61"/>
      <c r="N6" s="1"/>
      <c r="O6" s="23"/>
      <c r="P6" s="24"/>
      <c r="Q6" s="24"/>
      <c r="R6" s="24"/>
      <c r="S6" s="24"/>
      <c r="T6" s="24"/>
      <c r="U6" s="24"/>
      <c r="V6" s="2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36" x14ac:dyDescent="0.55000000000000004">
      <c r="A7" s="1"/>
      <c r="B7" s="1"/>
      <c r="C7" s="1"/>
      <c r="D7" s="1"/>
      <c r="E7" s="1"/>
      <c r="F7" s="69" t="s">
        <v>10</v>
      </c>
      <c r="G7" s="69"/>
      <c r="H7" s="69"/>
      <c r="I7" s="69"/>
      <c r="J7" s="69"/>
      <c r="K7" s="69"/>
      <c r="L7" s="69"/>
      <c r="M7" s="69"/>
      <c r="N7" s="1"/>
      <c r="O7" s="23"/>
      <c r="P7" s="23"/>
      <c r="Q7" s="23"/>
      <c r="R7" s="23"/>
      <c r="S7" s="23"/>
      <c r="T7" s="23"/>
      <c r="U7" s="23"/>
      <c r="V7" s="2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35.25" x14ac:dyDescent="0.3">
      <c r="A8" s="1"/>
      <c r="B8" s="1"/>
      <c r="C8" s="1"/>
      <c r="D8" s="1"/>
      <c r="E8" s="1"/>
      <c r="F8" s="68" t="s">
        <v>0</v>
      </c>
      <c r="G8" s="11" t="s">
        <v>1</v>
      </c>
      <c r="H8" s="11" t="s">
        <v>2</v>
      </c>
      <c r="I8" s="11" t="s">
        <v>3</v>
      </c>
      <c r="J8" s="11" t="s">
        <v>4</v>
      </c>
      <c r="K8" s="11" t="s">
        <v>5</v>
      </c>
      <c r="L8" s="11" t="s">
        <v>6</v>
      </c>
      <c r="M8" s="11" t="s">
        <v>7</v>
      </c>
      <c r="N8" s="1"/>
      <c r="O8" s="25"/>
      <c r="P8" s="26"/>
      <c r="Q8" s="29" t="s">
        <v>47</v>
      </c>
      <c r="R8" s="57">
        <f>(S8*S9)+((S8*S9)+S8)</f>
        <v>13.5</v>
      </c>
      <c r="S8" s="57">
        <v>5</v>
      </c>
      <c r="T8" s="26"/>
      <c r="U8" s="26"/>
      <c r="V8" s="26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35.25" x14ac:dyDescent="0.3">
      <c r="A9" s="1"/>
      <c r="B9" s="1"/>
      <c r="C9" s="1"/>
      <c r="D9" s="1"/>
      <c r="E9" s="1"/>
      <c r="F9" s="68"/>
      <c r="G9" s="12">
        <v>45600</v>
      </c>
      <c r="H9" s="12">
        <v>45601</v>
      </c>
      <c r="I9" s="12">
        <v>45602</v>
      </c>
      <c r="J9" s="12">
        <v>45603</v>
      </c>
      <c r="K9" s="12">
        <v>45604</v>
      </c>
      <c r="L9" s="12">
        <v>45605</v>
      </c>
      <c r="M9" s="12">
        <v>45606</v>
      </c>
      <c r="N9" s="1"/>
      <c r="O9" s="25" t="s">
        <v>45</v>
      </c>
      <c r="P9" s="19">
        <v>2</v>
      </c>
      <c r="Q9" s="29" t="s">
        <v>48</v>
      </c>
      <c r="R9" s="57">
        <f>R8-S8</f>
        <v>8.5</v>
      </c>
      <c r="S9" s="58">
        <v>0.85</v>
      </c>
      <c r="T9" s="27"/>
      <c r="U9" s="27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35.25" x14ac:dyDescent="0.3">
      <c r="A10" s="1"/>
      <c r="B10" s="1"/>
      <c r="C10" s="1"/>
      <c r="D10" s="1"/>
      <c r="E10" s="1"/>
      <c r="F10" s="13">
        <v>1</v>
      </c>
      <c r="G10" s="14" t="s">
        <v>12</v>
      </c>
      <c r="H10" s="14" t="s">
        <v>12</v>
      </c>
      <c r="I10" s="14" t="s">
        <v>12</v>
      </c>
      <c r="J10" s="15">
        <v>85</v>
      </c>
      <c r="K10" s="16">
        <v>-100</v>
      </c>
      <c r="L10" s="15">
        <v>86</v>
      </c>
      <c r="M10" s="15">
        <v>86</v>
      </c>
      <c r="N10" s="1"/>
      <c r="O10" s="25" t="s">
        <v>46</v>
      </c>
      <c r="P10" s="19">
        <v>3</v>
      </c>
      <c r="Q10" s="29" t="s">
        <v>49</v>
      </c>
      <c r="R10" s="57">
        <f>-S8*2</f>
        <v>-10</v>
      </c>
      <c r="S10" s="57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35.25" x14ac:dyDescent="0.3">
      <c r="A11" s="1"/>
      <c r="B11" s="1"/>
      <c r="C11" s="1"/>
      <c r="D11" s="1"/>
      <c r="E11" s="1"/>
      <c r="F11" s="13">
        <v>2</v>
      </c>
      <c r="G11" s="14" t="s">
        <v>12</v>
      </c>
      <c r="H11" s="14" t="s">
        <v>12</v>
      </c>
      <c r="I11" s="14" t="s">
        <v>12</v>
      </c>
      <c r="J11" s="15">
        <v>85</v>
      </c>
      <c r="K11" s="15">
        <v>86</v>
      </c>
      <c r="L11" s="15">
        <v>86</v>
      </c>
      <c r="M11" s="15">
        <v>-100</v>
      </c>
      <c r="N11" s="1"/>
      <c r="O11" s="1"/>
      <c r="P11" s="1"/>
      <c r="Q11" s="57"/>
      <c r="R11" s="59">
        <f>SUM(R8:R10)</f>
        <v>12</v>
      </c>
      <c r="S11" s="57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35.25" x14ac:dyDescent="0.3">
      <c r="A12" s="1"/>
      <c r="B12" s="1"/>
      <c r="C12" s="1"/>
      <c r="D12" s="1"/>
      <c r="E12" s="1"/>
      <c r="F12" s="13">
        <v>3</v>
      </c>
      <c r="G12" s="14" t="s">
        <v>12</v>
      </c>
      <c r="H12" s="14" t="s">
        <v>12</v>
      </c>
      <c r="I12" s="14" t="s">
        <v>12</v>
      </c>
      <c r="J12" s="15">
        <v>85</v>
      </c>
      <c r="K12" s="16">
        <v>-100</v>
      </c>
      <c r="L12" s="15">
        <v>86</v>
      </c>
      <c r="M12" s="15">
        <v>-100</v>
      </c>
      <c r="N12" s="1"/>
      <c r="O12" s="1"/>
      <c r="P12" s="1"/>
      <c r="Q12" s="73" t="s">
        <v>50</v>
      </c>
      <c r="R12" s="73"/>
      <c r="S12" s="7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35.25" x14ac:dyDescent="0.3">
      <c r="A13" s="1"/>
      <c r="B13" s="1"/>
      <c r="C13" s="1"/>
      <c r="D13" s="1"/>
      <c r="E13" s="1"/>
      <c r="F13" s="13">
        <v>4</v>
      </c>
      <c r="G13" s="14" t="s">
        <v>12</v>
      </c>
      <c r="H13" s="14" t="s">
        <v>12</v>
      </c>
      <c r="I13" s="14" t="s">
        <v>12</v>
      </c>
      <c r="J13" s="15" t="s">
        <v>12</v>
      </c>
      <c r="K13" s="15">
        <v>85</v>
      </c>
      <c r="L13" s="15" t="s">
        <v>12</v>
      </c>
      <c r="M13" s="15">
        <v>86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35.25" x14ac:dyDescent="0.3">
      <c r="A14" s="1"/>
      <c r="B14" s="1"/>
      <c r="C14" s="1"/>
      <c r="D14" s="1"/>
      <c r="E14" s="1"/>
      <c r="F14" s="13">
        <v>5</v>
      </c>
      <c r="G14" s="14" t="s">
        <v>12</v>
      </c>
      <c r="H14" s="14" t="s">
        <v>12</v>
      </c>
      <c r="I14" s="14" t="s">
        <v>12</v>
      </c>
      <c r="J14" s="15" t="s">
        <v>12</v>
      </c>
      <c r="K14" s="15">
        <v>85</v>
      </c>
      <c r="L14" s="15" t="s">
        <v>12</v>
      </c>
      <c r="M14" s="15">
        <v>-100</v>
      </c>
      <c r="N14" s="1"/>
      <c r="O14" s="19">
        <f>R8+R10+R8+R10</f>
        <v>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35.25" x14ac:dyDescent="0.3">
      <c r="A15" s="1"/>
      <c r="B15" s="1"/>
      <c r="C15" s="1"/>
      <c r="D15" s="1"/>
      <c r="E15" s="1"/>
      <c r="F15" s="17" t="s">
        <v>9</v>
      </c>
      <c r="G15" s="18">
        <f>SUM(G10:G14)</f>
        <v>0</v>
      </c>
      <c r="H15" s="18">
        <f>SUM(H10:H14)</f>
        <v>0</v>
      </c>
      <c r="I15" s="18">
        <f>SUM(I10:I14)</f>
        <v>0</v>
      </c>
      <c r="J15" s="18">
        <f t="shared" ref="J15:M15" si="0">SUM(J10:J14)</f>
        <v>255</v>
      </c>
      <c r="K15" s="18">
        <f t="shared" si="0"/>
        <v>56</v>
      </c>
      <c r="L15" s="18">
        <f t="shared" si="0"/>
        <v>258</v>
      </c>
      <c r="M15" s="18">
        <f t="shared" si="0"/>
        <v>-128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35.25" x14ac:dyDescent="0.3">
      <c r="A16" s="1"/>
      <c r="B16" s="1"/>
      <c r="C16" s="1"/>
      <c r="D16" s="1"/>
      <c r="E16" s="1"/>
      <c r="F16" s="10" t="s">
        <v>8</v>
      </c>
      <c r="G16" s="70">
        <f>SUM(G15:M15)/100</f>
        <v>4.41</v>
      </c>
      <c r="H16" s="71"/>
      <c r="I16" s="71"/>
      <c r="J16" s="71"/>
      <c r="K16" s="71"/>
      <c r="L16" s="71"/>
      <c r="M16" s="7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35.25" x14ac:dyDescent="0.5">
      <c r="A17" s="1"/>
      <c r="B17" s="1"/>
      <c r="C17" s="1"/>
      <c r="D17" s="1"/>
      <c r="E17" s="1"/>
      <c r="F17" s="9" t="s">
        <v>13</v>
      </c>
      <c r="G17" s="74"/>
      <c r="H17" s="75"/>
      <c r="I17" s="75"/>
      <c r="J17" s="75"/>
      <c r="K17" s="75"/>
      <c r="L17" s="75"/>
      <c r="M17" s="7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8.7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8.75" x14ac:dyDescent="0.3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8.7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8.7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36" x14ac:dyDescent="0.55000000000000004">
      <c r="A22" s="1"/>
      <c r="B22" s="1"/>
      <c r="C22" s="1"/>
      <c r="D22" s="1"/>
      <c r="E22" s="1"/>
      <c r="F22" s="60" t="s">
        <v>11</v>
      </c>
      <c r="G22" s="61"/>
      <c r="H22" s="61"/>
      <c r="I22" s="61"/>
      <c r="J22" s="61"/>
      <c r="K22" s="61"/>
      <c r="L22" s="61"/>
      <c r="M22" s="6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36" x14ac:dyDescent="0.55000000000000004">
      <c r="A23" s="1"/>
      <c r="B23" s="1"/>
      <c r="C23" s="1"/>
      <c r="D23" s="1"/>
      <c r="E23" s="1"/>
      <c r="F23" s="69" t="s">
        <v>10</v>
      </c>
      <c r="G23" s="69"/>
      <c r="H23" s="69"/>
      <c r="I23" s="69"/>
      <c r="J23" s="69"/>
      <c r="K23" s="69"/>
      <c r="L23" s="69"/>
      <c r="M23" s="6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35.25" x14ac:dyDescent="0.3">
      <c r="A24" s="1"/>
      <c r="B24" s="1"/>
      <c r="C24" s="1"/>
      <c r="D24" s="1"/>
      <c r="E24" s="1"/>
      <c r="F24" s="68" t="s">
        <v>0</v>
      </c>
      <c r="G24" s="11" t="s">
        <v>1</v>
      </c>
      <c r="H24" s="11" t="s">
        <v>2</v>
      </c>
      <c r="I24" s="11" t="s">
        <v>3</v>
      </c>
      <c r="J24" s="11" t="s">
        <v>4</v>
      </c>
      <c r="K24" s="11" t="s">
        <v>5</v>
      </c>
      <c r="L24" s="11" t="s">
        <v>6</v>
      </c>
      <c r="M24" s="11" t="s">
        <v>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35.25" x14ac:dyDescent="0.3">
      <c r="A25" s="1"/>
      <c r="B25" s="1"/>
      <c r="C25" s="1"/>
      <c r="D25" s="1"/>
      <c r="E25" s="1"/>
      <c r="F25" s="68"/>
      <c r="G25" s="12">
        <v>45607</v>
      </c>
      <c r="H25" s="12">
        <v>45608</v>
      </c>
      <c r="I25" s="12">
        <v>45609</v>
      </c>
      <c r="J25" s="12">
        <v>45610</v>
      </c>
      <c r="K25" s="12">
        <v>45611</v>
      </c>
      <c r="L25" s="12">
        <v>45612</v>
      </c>
      <c r="M25" s="12">
        <v>45613</v>
      </c>
      <c r="N25" s="1"/>
      <c r="O25" s="25" t="s">
        <v>45</v>
      </c>
      <c r="P25" s="19">
        <v>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35.25" x14ac:dyDescent="0.3">
      <c r="A26" s="1"/>
      <c r="B26" s="1"/>
      <c r="C26" s="1"/>
      <c r="D26" s="1"/>
      <c r="E26" s="1"/>
      <c r="F26" s="13">
        <v>1</v>
      </c>
      <c r="G26" s="19">
        <v>85</v>
      </c>
      <c r="H26" s="19">
        <v>-100</v>
      </c>
      <c r="I26" s="19">
        <v>85</v>
      </c>
      <c r="J26" s="15">
        <v>0</v>
      </c>
      <c r="K26" s="16">
        <v>85</v>
      </c>
      <c r="L26" s="15">
        <v>-100</v>
      </c>
      <c r="M26" s="15">
        <v>84</v>
      </c>
      <c r="N26" s="1"/>
      <c r="O26" s="25" t="s">
        <v>46</v>
      </c>
      <c r="P26" s="19">
        <v>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35.25" x14ac:dyDescent="0.3">
      <c r="A27" s="1"/>
      <c r="B27" s="1"/>
      <c r="C27" s="1"/>
      <c r="D27" s="1"/>
      <c r="E27" s="1"/>
      <c r="F27" s="13">
        <v>2</v>
      </c>
      <c r="G27" s="19">
        <v>-100</v>
      </c>
      <c r="H27" s="19">
        <v>-100</v>
      </c>
      <c r="I27" s="19">
        <v>85</v>
      </c>
      <c r="J27" s="15">
        <v>85</v>
      </c>
      <c r="K27" s="15">
        <v>-100</v>
      </c>
      <c r="L27" s="15">
        <v>86</v>
      </c>
      <c r="M27" s="15">
        <v>84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35.25" x14ac:dyDescent="0.3">
      <c r="A28" s="1"/>
      <c r="B28" s="1"/>
      <c r="C28" s="1"/>
      <c r="D28" s="1"/>
      <c r="E28" s="1"/>
      <c r="F28" s="13">
        <v>3</v>
      </c>
      <c r="G28" s="19">
        <v>85</v>
      </c>
      <c r="H28" s="19">
        <v>-100</v>
      </c>
      <c r="I28" s="19">
        <v>85</v>
      </c>
      <c r="J28" s="15">
        <v>86</v>
      </c>
      <c r="K28" s="16">
        <v>-100</v>
      </c>
      <c r="L28" s="15">
        <v>-100</v>
      </c>
      <c r="M28" s="15">
        <v>86</v>
      </c>
      <c r="N28" s="1"/>
      <c r="O28" s="19">
        <f>R9+R10+R8+R8+R10</f>
        <v>15.5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35.25" x14ac:dyDescent="0.3">
      <c r="A29" s="1"/>
      <c r="B29" s="1"/>
      <c r="C29" s="1"/>
      <c r="D29" s="1"/>
      <c r="E29" s="1"/>
      <c r="F29" s="13">
        <v>4</v>
      </c>
      <c r="G29" s="19">
        <v>86</v>
      </c>
      <c r="H29" s="19"/>
      <c r="I29" s="19"/>
      <c r="J29" s="15">
        <v>86</v>
      </c>
      <c r="K29" s="15">
        <v>86</v>
      </c>
      <c r="L29" s="15">
        <v>86</v>
      </c>
      <c r="M29" s="15" t="s">
        <v>12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35.25" x14ac:dyDescent="0.3">
      <c r="A30" s="1"/>
      <c r="B30" s="1"/>
      <c r="C30" s="1"/>
      <c r="D30" s="1"/>
      <c r="E30" s="1"/>
      <c r="F30" s="13">
        <v>5</v>
      </c>
      <c r="G30" s="19">
        <v>86</v>
      </c>
      <c r="H30" s="19"/>
      <c r="I30" s="19"/>
      <c r="J30" s="15"/>
      <c r="K30" s="15">
        <v>-100</v>
      </c>
      <c r="L30" s="15">
        <v>86</v>
      </c>
      <c r="M30" s="15" t="s">
        <v>12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35.25" x14ac:dyDescent="0.3">
      <c r="A31" s="1"/>
      <c r="B31" s="1"/>
      <c r="C31" s="1"/>
      <c r="D31" s="1"/>
      <c r="E31" s="1"/>
      <c r="F31" s="17" t="s">
        <v>9</v>
      </c>
      <c r="G31" s="18">
        <f>SUM(G26:G30)</f>
        <v>242</v>
      </c>
      <c r="H31" s="18">
        <f>SUM(H26:H30)</f>
        <v>-300</v>
      </c>
      <c r="I31" s="18">
        <f>SUM(I26:I30)</f>
        <v>255</v>
      </c>
      <c r="J31" s="18">
        <f t="shared" ref="J31:L31" si="1">SUM(J26:J30)</f>
        <v>257</v>
      </c>
      <c r="K31" s="18">
        <f t="shared" si="1"/>
        <v>-129</v>
      </c>
      <c r="L31" s="18">
        <f t="shared" si="1"/>
        <v>58</v>
      </c>
      <c r="M31" s="18">
        <f>SUM(M26:M30)</f>
        <v>254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35.25" x14ac:dyDescent="0.3">
      <c r="A32" s="1"/>
      <c r="B32" s="1"/>
      <c r="C32" s="1"/>
      <c r="D32" s="1"/>
      <c r="E32" s="1"/>
      <c r="F32" s="10" t="s">
        <v>8</v>
      </c>
      <c r="G32" s="70">
        <f>SUM(G31:M31)/100</f>
        <v>6.37</v>
      </c>
      <c r="H32" s="71"/>
      <c r="I32" s="71"/>
      <c r="J32" s="71"/>
      <c r="K32" s="71"/>
      <c r="L32" s="71"/>
      <c r="M32" s="7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35.25" x14ac:dyDescent="0.5">
      <c r="A33" s="1"/>
      <c r="B33" s="1"/>
      <c r="C33" s="1"/>
      <c r="D33" s="1"/>
      <c r="E33" s="1"/>
      <c r="F33" s="9" t="s">
        <v>13</v>
      </c>
      <c r="G33" s="62">
        <f>(G32*100)/(7*3*100)</f>
        <v>0.30333333333333334</v>
      </c>
      <c r="H33" s="63"/>
      <c r="I33" s="63"/>
      <c r="J33" s="63"/>
      <c r="K33" s="63"/>
      <c r="L33" s="63"/>
      <c r="M33" s="6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86.25" customHeight="1" x14ac:dyDescent="0.3">
      <c r="A35" s="1"/>
      <c r="B35" s="1"/>
      <c r="C35" s="5"/>
      <c r="D35" s="5"/>
      <c r="E35" s="5"/>
      <c r="F35" s="5"/>
      <c r="G35" s="20"/>
      <c r="H35" s="5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36" x14ac:dyDescent="0.55000000000000004">
      <c r="A38" s="1"/>
      <c r="B38" s="1"/>
      <c r="C38" s="1"/>
      <c r="D38" s="1"/>
      <c r="E38" s="1"/>
      <c r="F38" s="60" t="s">
        <v>11</v>
      </c>
      <c r="G38" s="61"/>
      <c r="H38" s="61"/>
      <c r="I38" s="61"/>
      <c r="J38" s="61"/>
      <c r="K38" s="61"/>
      <c r="L38" s="61"/>
      <c r="M38" s="6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36" x14ac:dyDescent="0.55000000000000004">
      <c r="A39" s="1"/>
      <c r="B39" s="1"/>
      <c r="C39" s="1"/>
      <c r="D39" s="1"/>
      <c r="E39" s="1"/>
      <c r="F39" s="69" t="s">
        <v>10</v>
      </c>
      <c r="G39" s="69"/>
      <c r="H39" s="69"/>
      <c r="I39" s="69"/>
      <c r="J39" s="69"/>
      <c r="K39" s="69"/>
      <c r="L39" s="69"/>
      <c r="M39" s="6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35.25" x14ac:dyDescent="0.3">
      <c r="A40" s="1"/>
      <c r="B40" s="1"/>
      <c r="C40" s="1"/>
      <c r="D40" s="1"/>
      <c r="E40" s="1"/>
      <c r="F40" s="68" t="s">
        <v>0</v>
      </c>
      <c r="G40" s="11" t="s">
        <v>1</v>
      </c>
      <c r="H40" s="11" t="s">
        <v>2</v>
      </c>
      <c r="I40" s="21" t="s">
        <v>3</v>
      </c>
      <c r="J40" s="11" t="s">
        <v>4</v>
      </c>
      <c r="K40" s="11" t="s">
        <v>5</v>
      </c>
      <c r="L40" s="11" t="s">
        <v>6</v>
      </c>
      <c r="M40" s="21" t="s">
        <v>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35.25" x14ac:dyDescent="0.3">
      <c r="A41" s="1"/>
      <c r="B41" s="1"/>
      <c r="C41" s="1"/>
      <c r="D41" s="1"/>
      <c r="E41" s="1"/>
      <c r="F41" s="68"/>
      <c r="G41" s="12">
        <v>45614</v>
      </c>
      <c r="H41" s="12">
        <v>45615</v>
      </c>
      <c r="I41" s="22">
        <v>45616</v>
      </c>
      <c r="J41" s="12">
        <v>45617</v>
      </c>
      <c r="K41" s="12">
        <v>45618</v>
      </c>
      <c r="L41" s="12">
        <v>45619</v>
      </c>
      <c r="M41" s="22">
        <v>45620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35.25" x14ac:dyDescent="0.3">
      <c r="A42" s="1"/>
      <c r="B42" s="1"/>
      <c r="C42" s="1"/>
      <c r="D42" s="1"/>
      <c r="E42" s="1"/>
      <c r="F42" s="13">
        <v>1</v>
      </c>
      <c r="G42" s="19">
        <v>86</v>
      </c>
      <c r="H42" s="19">
        <v>-100</v>
      </c>
      <c r="I42" s="19">
        <v>-100</v>
      </c>
      <c r="J42" s="32">
        <v>86</v>
      </c>
      <c r="K42" s="33">
        <v>85</v>
      </c>
      <c r="L42" s="19">
        <v>-100</v>
      </c>
      <c r="M42" s="32">
        <v>82</v>
      </c>
      <c r="N42" s="56"/>
      <c r="O42" s="25" t="s">
        <v>45</v>
      </c>
      <c r="P42" s="19">
        <v>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35.25" x14ac:dyDescent="0.3">
      <c r="A43" s="1"/>
      <c r="B43" s="1"/>
      <c r="C43" s="1"/>
      <c r="D43" s="1"/>
      <c r="E43" s="1"/>
      <c r="F43" s="13">
        <v>2</v>
      </c>
      <c r="G43" s="19">
        <v>84</v>
      </c>
      <c r="H43" s="19">
        <v>85</v>
      </c>
      <c r="I43" s="19">
        <v>-100</v>
      </c>
      <c r="J43" s="32">
        <v>-100</v>
      </c>
      <c r="K43" s="19">
        <v>-100</v>
      </c>
      <c r="L43" s="19">
        <v>85</v>
      </c>
      <c r="M43" s="32">
        <v>-200</v>
      </c>
      <c r="N43" s="56"/>
      <c r="O43" s="25" t="s">
        <v>46</v>
      </c>
      <c r="P43" s="19">
        <v>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35.25" x14ac:dyDescent="0.3">
      <c r="A44" s="1"/>
      <c r="B44" s="1"/>
      <c r="C44" s="1"/>
      <c r="D44" s="1"/>
      <c r="E44" s="1"/>
      <c r="F44" s="13">
        <v>3</v>
      </c>
      <c r="G44" s="19">
        <v>86</v>
      </c>
      <c r="H44" s="19">
        <v>85</v>
      </c>
      <c r="I44" s="19">
        <v>-100</v>
      </c>
      <c r="J44" s="32">
        <v>85</v>
      </c>
      <c r="K44" s="33">
        <v>85</v>
      </c>
      <c r="L44" s="19">
        <v>-100</v>
      </c>
      <c r="M44" s="32">
        <f>84-100</f>
        <v>-16</v>
      </c>
      <c r="N44" s="5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35.25" x14ac:dyDescent="0.3">
      <c r="A45" s="1"/>
      <c r="B45" s="1"/>
      <c r="C45" s="1"/>
      <c r="D45" s="1"/>
      <c r="E45" s="1"/>
      <c r="F45" s="13">
        <v>4</v>
      </c>
      <c r="G45" s="19" t="s">
        <v>12</v>
      </c>
      <c r="H45" s="19">
        <v>84</v>
      </c>
      <c r="I45" s="19" t="s">
        <v>12</v>
      </c>
      <c r="J45" s="32">
        <v>86</v>
      </c>
      <c r="K45" s="19">
        <v>85</v>
      </c>
      <c r="L45" s="19">
        <v>-100</v>
      </c>
      <c r="M45" s="32">
        <v>85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35.25" x14ac:dyDescent="0.3">
      <c r="A46" s="1"/>
      <c r="B46" s="1"/>
      <c r="C46" s="1"/>
      <c r="D46" s="1"/>
      <c r="E46" s="1"/>
      <c r="F46" s="13">
        <v>5</v>
      </c>
      <c r="G46" s="19" t="s">
        <v>12</v>
      </c>
      <c r="H46" s="19">
        <v>-100</v>
      </c>
      <c r="I46" s="19" t="s">
        <v>12</v>
      </c>
      <c r="J46" s="32">
        <v>-100</v>
      </c>
      <c r="K46" s="19">
        <v>85</v>
      </c>
      <c r="L46" s="19"/>
      <c r="M46" s="32">
        <v>85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35.25" x14ac:dyDescent="0.3">
      <c r="A47" s="1"/>
      <c r="B47" s="1"/>
      <c r="C47" s="1"/>
      <c r="D47" s="1"/>
      <c r="E47" s="1"/>
      <c r="F47" s="17" t="s">
        <v>9</v>
      </c>
      <c r="G47" s="18">
        <f>SUM(G42:G46)</f>
        <v>256</v>
      </c>
      <c r="H47" s="18">
        <f>SUM(H42:H46)</f>
        <v>54</v>
      </c>
      <c r="I47" s="18">
        <f>SUM(I42:I46)</f>
        <v>-300</v>
      </c>
      <c r="J47" s="18">
        <f t="shared" ref="J47:M47" si="2">SUM(J42:J46)</f>
        <v>57</v>
      </c>
      <c r="K47" s="18">
        <f t="shared" si="2"/>
        <v>240</v>
      </c>
      <c r="L47" s="18">
        <f t="shared" si="2"/>
        <v>-215</v>
      </c>
      <c r="M47" s="18">
        <f t="shared" si="2"/>
        <v>36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35.25" x14ac:dyDescent="0.3">
      <c r="A48" s="1"/>
      <c r="B48" s="1"/>
      <c r="C48" s="1"/>
      <c r="D48" s="1"/>
      <c r="E48" s="1"/>
      <c r="F48" s="10" t="s">
        <v>8</v>
      </c>
      <c r="G48" s="70">
        <f>SUM(G47:M47)/100</f>
        <v>1.28</v>
      </c>
      <c r="H48" s="71"/>
      <c r="I48" s="71"/>
      <c r="J48" s="71"/>
      <c r="K48" s="71"/>
      <c r="L48" s="71"/>
      <c r="M48" s="7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35.25" x14ac:dyDescent="0.5">
      <c r="A49" s="1"/>
      <c r="B49" s="1"/>
      <c r="C49" s="1"/>
      <c r="D49" s="1"/>
      <c r="E49" s="1"/>
      <c r="F49" s="9" t="s">
        <v>13</v>
      </c>
      <c r="G49" s="62">
        <f>(G48*100)/(7*3*100)</f>
        <v>6.0952380952380952E-2</v>
      </c>
      <c r="H49" s="63"/>
      <c r="I49" s="63"/>
      <c r="J49" s="63"/>
      <c r="K49" s="63"/>
      <c r="L49" s="63"/>
      <c r="M49" s="6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8.75" x14ac:dyDescent="0.3">
      <c r="A51" s="1"/>
      <c r="B51" s="1"/>
      <c r="C51" s="1"/>
      <c r="D51" s="1"/>
      <c r="E51" s="1"/>
      <c r="F51" s="5"/>
      <c r="G51" s="20"/>
      <c r="H51" s="5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36" x14ac:dyDescent="0.55000000000000004">
      <c r="A53" s="1"/>
      <c r="B53" s="1"/>
      <c r="C53" s="1"/>
      <c r="D53" s="1"/>
      <c r="E53" s="1"/>
      <c r="F53" s="60" t="s">
        <v>11</v>
      </c>
      <c r="G53" s="61"/>
      <c r="H53" s="61"/>
      <c r="I53" s="61"/>
      <c r="J53" s="61"/>
      <c r="K53" s="61"/>
      <c r="L53" s="61"/>
      <c r="M53" s="6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36" x14ac:dyDescent="0.55000000000000004">
      <c r="A54" s="1"/>
      <c r="B54" s="1"/>
      <c r="C54" s="1"/>
      <c r="D54" s="1"/>
      <c r="E54" s="1"/>
      <c r="F54" s="69" t="s">
        <v>10</v>
      </c>
      <c r="G54" s="69"/>
      <c r="H54" s="69"/>
      <c r="I54" s="69"/>
      <c r="J54" s="69"/>
      <c r="K54" s="69"/>
      <c r="L54" s="69"/>
      <c r="M54" s="6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35.25" x14ac:dyDescent="0.3">
      <c r="A55" s="1"/>
      <c r="B55" s="1"/>
      <c r="C55" s="1"/>
      <c r="D55" s="1"/>
      <c r="E55" s="1"/>
      <c r="F55" s="68" t="s">
        <v>0</v>
      </c>
      <c r="G55" s="11" t="s">
        <v>1</v>
      </c>
      <c r="H55" s="11" t="s">
        <v>2</v>
      </c>
      <c r="I55" s="11" t="s">
        <v>3</v>
      </c>
      <c r="J55" s="11" t="s">
        <v>4</v>
      </c>
      <c r="K55" s="11" t="s">
        <v>5</v>
      </c>
      <c r="L55" s="11" t="s">
        <v>6</v>
      </c>
      <c r="M55" s="11" t="s">
        <v>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35.25" x14ac:dyDescent="0.3">
      <c r="A56" s="1"/>
      <c r="B56" s="1"/>
      <c r="C56" s="1"/>
      <c r="D56" s="1"/>
      <c r="E56" s="1"/>
      <c r="F56" s="68"/>
      <c r="G56" s="12">
        <v>45621</v>
      </c>
      <c r="H56" s="12">
        <v>45622</v>
      </c>
      <c r="I56" s="12">
        <v>45623</v>
      </c>
      <c r="J56" s="12">
        <v>45624</v>
      </c>
      <c r="K56" s="12">
        <v>45625</v>
      </c>
      <c r="L56" s="12">
        <v>45626</v>
      </c>
      <c r="M56" s="12">
        <v>45627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35.25" x14ac:dyDescent="0.3">
      <c r="A57" s="1"/>
      <c r="B57" s="1"/>
      <c r="C57" s="1"/>
      <c r="D57" s="1"/>
      <c r="E57" s="1"/>
      <c r="F57" s="13">
        <v>1</v>
      </c>
      <c r="G57" s="19">
        <v>85</v>
      </c>
      <c r="H57" s="19">
        <v>85</v>
      </c>
      <c r="I57" s="19">
        <v>86</v>
      </c>
      <c r="J57" s="15">
        <v>85</v>
      </c>
      <c r="K57" s="16">
        <v>86</v>
      </c>
      <c r="L57" s="15">
        <v>-100</v>
      </c>
      <c r="M57" s="51"/>
      <c r="N57" s="1"/>
      <c r="O57" s="25" t="s">
        <v>45</v>
      </c>
      <c r="P57" s="19">
        <v>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35.25" x14ac:dyDescent="0.3">
      <c r="A58" s="1"/>
      <c r="B58" s="1"/>
      <c r="C58" s="1"/>
      <c r="D58" s="1"/>
      <c r="E58" s="1"/>
      <c r="F58" s="13">
        <v>2</v>
      </c>
      <c r="G58" s="19">
        <v>85</v>
      </c>
      <c r="H58" s="19">
        <v>-100</v>
      </c>
      <c r="I58" s="19">
        <v>86</v>
      </c>
      <c r="J58" s="15">
        <v>-100</v>
      </c>
      <c r="K58" s="15">
        <v>86</v>
      </c>
      <c r="L58" s="15">
        <v>86</v>
      </c>
      <c r="M58" s="51"/>
      <c r="N58" s="1"/>
      <c r="O58" s="25" t="s">
        <v>46</v>
      </c>
      <c r="P58" s="19">
        <v>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35.25" x14ac:dyDescent="0.3">
      <c r="A59" s="1"/>
      <c r="B59" s="1"/>
      <c r="C59" s="1"/>
      <c r="D59" s="1"/>
      <c r="E59" s="1"/>
      <c r="F59" s="13">
        <v>3</v>
      </c>
      <c r="G59" s="19">
        <v>-100</v>
      </c>
      <c r="H59" s="19">
        <v>85</v>
      </c>
      <c r="I59" s="19">
        <v>86</v>
      </c>
      <c r="J59" s="15">
        <v>86</v>
      </c>
      <c r="K59" s="16">
        <v>-100</v>
      </c>
      <c r="L59" s="15">
        <v>86</v>
      </c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35.25" x14ac:dyDescent="0.3">
      <c r="A60" s="1"/>
      <c r="B60" s="1"/>
      <c r="C60" s="1"/>
      <c r="D60" s="1"/>
      <c r="E60" s="1"/>
      <c r="F60" s="13">
        <v>4</v>
      </c>
      <c r="G60" s="19">
        <v>-100</v>
      </c>
      <c r="H60" s="19">
        <v>85</v>
      </c>
      <c r="I60" s="19" t="s">
        <v>12</v>
      </c>
      <c r="J60" s="15">
        <v>-100</v>
      </c>
      <c r="K60" s="15">
        <v>-100</v>
      </c>
      <c r="L60" s="15">
        <v>86</v>
      </c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35.25" x14ac:dyDescent="0.3">
      <c r="A61" s="1"/>
      <c r="B61" s="1"/>
      <c r="C61" s="1"/>
      <c r="D61" s="1"/>
      <c r="E61" s="1"/>
      <c r="F61" s="13">
        <v>5</v>
      </c>
      <c r="G61" s="19">
        <v>85</v>
      </c>
      <c r="H61" s="19">
        <v>-100</v>
      </c>
      <c r="I61" s="19" t="s">
        <v>12</v>
      </c>
      <c r="J61" s="15">
        <v>86</v>
      </c>
      <c r="K61" s="15">
        <v>86</v>
      </c>
      <c r="L61" s="15" t="s">
        <v>12</v>
      </c>
      <c r="M61" s="51"/>
      <c r="N61" s="1"/>
      <c r="O61" s="25"/>
      <c r="P61" s="19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35.25" x14ac:dyDescent="0.3">
      <c r="A62" s="1"/>
      <c r="B62" s="1"/>
      <c r="C62" s="1"/>
      <c r="D62" s="1"/>
      <c r="E62" s="1"/>
      <c r="F62" s="17" t="s">
        <v>9</v>
      </c>
      <c r="G62" s="18">
        <f>SUM(G57:G61)</f>
        <v>55</v>
      </c>
      <c r="H62" s="18">
        <f>SUM(H57:H61)</f>
        <v>55</v>
      </c>
      <c r="I62" s="18">
        <f>SUM(I57:I61)</f>
        <v>258</v>
      </c>
      <c r="J62" s="18">
        <f t="shared" ref="J62:M62" si="3">SUM(J57:J61)</f>
        <v>57</v>
      </c>
      <c r="K62" s="18">
        <f t="shared" si="3"/>
        <v>58</v>
      </c>
      <c r="L62" s="18">
        <f t="shared" si="3"/>
        <v>158</v>
      </c>
      <c r="M62" s="51">
        <f t="shared" si="3"/>
        <v>0</v>
      </c>
      <c r="N62" s="1"/>
      <c r="O62" s="25"/>
      <c r="P62" s="19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35.25" x14ac:dyDescent="0.3">
      <c r="A63" s="1"/>
      <c r="B63" s="1"/>
      <c r="C63" s="1"/>
      <c r="D63" s="1"/>
      <c r="E63" s="1"/>
      <c r="F63" s="10" t="s">
        <v>8</v>
      </c>
      <c r="G63" s="70">
        <f>SUM(G62:M62)/100</f>
        <v>6.41</v>
      </c>
      <c r="H63" s="71"/>
      <c r="I63" s="71"/>
      <c r="J63" s="71"/>
      <c r="K63" s="71"/>
      <c r="L63" s="71"/>
      <c r="M63" s="7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35.25" x14ac:dyDescent="0.5">
      <c r="A64" s="1"/>
      <c r="B64" s="1"/>
      <c r="C64" s="1"/>
      <c r="D64" s="1"/>
      <c r="E64" s="1"/>
      <c r="F64" s="9" t="s">
        <v>13</v>
      </c>
      <c r="G64" s="62">
        <f>(G63*100)/(7*3*100)</f>
        <v>0.30523809523809525</v>
      </c>
      <c r="H64" s="63"/>
      <c r="I64" s="63"/>
      <c r="J64" s="63"/>
      <c r="K64" s="63"/>
      <c r="L64" s="63"/>
      <c r="M64" s="6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409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22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55.5" customHeight="1" x14ac:dyDescent="0.3">
      <c r="A69" s="1"/>
      <c r="B69" s="1"/>
      <c r="C69" s="1"/>
      <c r="D69" s="1"/>
      <c r="E69" s="1"/>
      <c r="F69" s="30" t="s">
        <v>15</v>
      </c>
      <c r="G69" s="11" t="s">
        <v>1</v>
      </c>
      <c r="H69" s="11" t="s">
        <v>2</v>
      </c>
      <c r="I69" s="11" t="s">
        <v>3</v>
      </c>
      <c r="J69" s="11" t="s">
        <v>4</v>
      </c>
      <c r="K69" s="11" t="s">
        <v>5</v>
      </c>
      <c r="L69" s="11" t="s">
        <v>6</v>
      </c>
      <c r="M69" s="11" t="s">
        <v>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51" customHeight="1" x14ac:dyDescent="0.3">
      <c r="A70" s="1"/>
      <c r="B70" s="1"/>
      <c r="C70" s="1"/>
      <c r="D70" s="1"/>
      <c r="E70" s="1"/>
      <c r="F70" s="30" t="s">
        <v>16</v>
      </c>
      <c r="G70" s="31">
        <f t="shared" ref="G70:L70" si="4">G15+G31+G47+G62</f>
        <v>553</v>
      </c>
      <c r="H70" s="31">
        <f t="shared" si="4"/>
        <v>-191</v>
      </c>
      <c r="I70" s="31">
        <f t="shared" si="4"/>
        <v>213</v>
      </c>
      <c r="J70" s="31">
        <f t="shared" si="4"/>
        <v>626</v>
      </c>
      <c r="K70" s="31">
        <f t="shared" si="4"/>
        <v>225</v>
      </c>
      <c r="L70" s="29">
        <f t="shared" si="4"/>
        <v>259</v>
      </c>
      <c r="M70" s="31">
        <f>M15+M31+M47+M61</f>
        <v>162</v>
      </c>
      <c r="N70" s="1"/>
      <c r="O70" s="25" t="s">
        <v>45</v>
      </c>
      <c r="P70" s="19">
        <f>1+P57+P42+P25+P9</f>
        <v>12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51" customHeight="1" x14ac:dyDescent="0.3">
      <c r="A71" s="1"/>
      <c r="B71" s="1"/>
      <c r="C71" s="1"/>
      <c r="D71" s="1"/>
      <c r="E71" s="1"/>
      <c r="F71" s="30" t="s">
        <v>8</v>
      </c>
      <c r="G71" s="65">
        <f>SUM(G70:M70)/100</f>
        <v>18.47</v>
      </c>
      <c r="H71" s="65"/>
      <c r="I71" s="65"/>
      <c r="J71" s="65"/>
      <c r="K71" s="65"/>
      <c r="L71" s="65"/>
      <c r="M71" s="65"/>
      <c r="N71" s="1"/>
      <c r="O71" s="25" t="s">
        <v>46</v>
      </c>
      <c r="P71" s="19">
        <f>2+P58+P43+P26+P10</f>
        <v>20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26.25" x14ac:dyDescent="0.3">
      <c r="A72" s="1"/>
      <c r="B72" s="1"/>
      <c r="C72" s="1"/>
      <c r="D72" s="1"/>
      <c r="E72" s="1"/>
      <c r="F72" s="28"/>
      <c r="G72" s="28"/>
      <c r="H72" s="28"/>
      <c r="I72" s="28"/>
      <c r="J72" s="28"/>
      <c r="K72" s="28"/>
      <c r="L72" s="28"/>
      <c r="M72" s="2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51" customHeight="1" x14ac:dyDescent="0.3">
      <c r="A73" s="1"/>
      <c r="B73" s="1"/>
      <c r="C73" s="1"/>
      <c r="D73" s="1"/>
      <c r="E73" s="1"/>
      <c r="F73" s="28"/>
      <c r="G73" s="28"/>
      <c r="H73" s="28"/>
      <c r="I73" s="28"/>
      <c r="J73" s="28"/>
      <c r="K73" s="28"/>
      <c r="L73" s="28"/>
      <c r="M73" s="2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26.25" x14ac:dyDescent="0.3">
      <c r="A74" s="1"/>
      <c r="B74" s="1"/>
      <c r="C74" s="1"/>
      <c r="D74" s="1"/>
      <c r="E74" s="1"/>
      <c r="F74" s="28"/>
      <c r="G74" s="28"/>
      <c r="H74" s="28"/>
      <c r="I74" s="28"/>
      <c r="J74" s="28"/>
      <c r="K74" s="28"/>
      <c r="L74" s="28"/>
      <c r="M74" s="2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26.25" x14ac:dyDescent="0.3">
      <c r="A75" s="1"/>
      <c r="B75" s="1"/>
      <c r="C75" s="1"/>
      <c r="D75" s="1"/>
      <c r="E75" s="1"/>
      <c r="F75" s="28"/>
      <c r="G75" s="28"/>
      <c r="H75" s="28"/>
      <c r="I75" s="28"/>
      <c r="J75" s="28"/>
      <c r="K75" s="28"/>
      <c r="L75" s="28"/>
      <c r="M75" s="2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26.25" x14ac:dyDescent="0.3">
      <c r="A76" s="1"/>
      <c r="B76" s="1"/>
      <c r="C76" s="1"/>
      <c r="D76" s="1"/>
      <c r="E76" s="1"/>
      <c r="F76" s="28"/>
      <c r="G76" s="28"/>
      <c r="H76" s="28"/>
      <c r="I76" s="28"/>
      <c r="J76" s="28"/>
      <c r="K76" s="28"/>
      <c r="L76" s="28"/>
      <c r="M76" s="2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26.25" x14ac:dyDescent="0.3">
      <c r="A77" s="1"/>
      <c r="B77" s="1"/>
      <c r="C77" s="1"/>
      <c r="D77" s="1"/>
      <c r="E77" s="1"/>
      <c r="F77" s="28"/>
      <c r="G77" s="28"/>
      <c r="H77" s="28"/>
      <c r="I77" s="28"/>
      <c r="J77" s="28"/>
      <c r="K77" s="28"/>
      <c r="L77" s="28"/>
      <c r="M77" s="2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26.25" x14ac:dyDescent="0.3">
      <c r="A78" s="1"/>
      <c r="B78" s="1"/>
      <c r="C78" s="1"/>
      <c r="D78" s="1"/>
      <c r="E78" s="1"/>
      <c r="F78" s="28"/>
      <c r="G78" s="28"/>
      <c r="H78" s="28"/>
      <c r="I78" s="28"/>
      <c r="J78" s="28"/>
      <c r="K78" s="28"/>
      <c r="L78" s="28"/>
      <c r="M78" s="2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26.25" x14ac:dyDescent="0.3">
      <c r="A79" s="1"/>
      <c r="B79" s="1"/>
      <c r="C79" s="1"/>
      <c r="D79" s="1"/>
      <c r="E79" s="1"/>
      <c r="F79" s="28"/>
      <c r="G79" s="28"/>
      <c r="H79" s="28"/>
      <c r="I79" s="28"/>
      <c r="J79" s="28"/>
      <c r="K79" s="28"/>
      <c r="L79" s="28"/>
      <c r="M79" s="2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26.25" x14ac:dyDescent="0.3">
      <c r="A80" s="1"/>
      <c r="B80" s="1"/>
      <c r="C80" s="1"/>
      <c r="D80" s="1"/>
      <c r="E80" s="1"/>
      <c r="F80" s="28"/>
      <c r="G80" s="28"/>
      <c r="H80" s="28"/>
      <c r="I80" s="28"/>
      <c r="J80" s="28"/>
      <c r="K80" s="28"/>
      <c r="L80" s="28"/>
      <c r="M80" s="2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26.25" x14ac:dyDescent="0.3">
      <c r="A81" s="1"/>
      <c r="B81" s="1"/>
      <c r="C81" s="1"/>
      <c r="D81" s="1"/>
      <c r="E81" s="1"/>
      <c r="F81" s="28"/>
      <c r="G81" s="28"/>
      <c r="H81" s="28"/>
      <c r="I81" s="28"/>
      <c r="J81" s="28"/>
      <c r="K81" s="28"/>
      <c r="L81" s="28"/>
      <c r="M81" s="2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26.25" x14ac:dyDescent="0.3">
      <c r="A82" s="1"/>
      <c r="B82" s="1"/>
      <c r="C82" s="1"/>
      <c r="D82" s="1"/>
      <c r="E82" s="1"/>
      <c r="F82" s="28"/>
      <c r="G82" s="28"/>
      <c r="H82" s="28"/>
      <c r="I82" s="28"/>
      <c r="J82" s="28"/>
      <c r="K82" s="28"/>
      <c r="L82" s="28"/>
      <c r="M82" s="2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26.25" x14ac:dyDescent="0.3">
      <c r="A83" s="1"/>
      <c r="B83" s="1"/>
      <c r="C83" s="1"/>
      <c r="D83" s="1"/>
      <c r="E83" s="1"/>
      <c r="F83" s="28"/>
      <c r="G83" s="28"/>
      <c r="H83" s="28"/>
      <c r="I83" s="28"/>
      <c r="J83" s="28"/>
      <c r="K83" s="28"/>
      <c r="L83" s="28"/>
      <c r="M83" s="2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26.25" x14ac:dyDescent="0.3">
      <c r="A84" s="1"/>
      <c r="B84" s="1"/>
      <c r="C84" s="1"/>
      <c r="D84" s="1"/>
      <c r="E84" s="1"/>
      <c r="F84" s="28"/>
      <c r="G84" s="28"/>
      <c r="H84" s="28"/>
      <c r="I84" s="28"/>
      <c r="J84" s="28"/>
      <c r="K84" s="28"/>
      <c r="L84" s="28"/>
      <c r="M84" s="2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26.25" x14ac:dyDescent="0.3">
      <c r="A85" s="1"/>
      <c r="B85" s="1"/>
      <c r="C85" s="1"/>
      <c r="D85" s="1"/>
      <c r="E85" s="1"/>
      <c r="F85" s="28"/>
      <c r="G85" s="28"/>
      <c r="H85" s="28"/>
      <c r="I85" s="28"/>
      <c r="J85" s="28"/>
      <c r="K85" s="28"/>
      <c r="L85" s="28"/>
      <c r="M85" s="2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26.25" x14ac:dyDescent="0.3">
      <c r="A86" s="1"/>
      <c r="B86" s="1"/>
      <c r="C86" s="1"/>
      <c r="D86" s="1"/>
      <c r="E86" s="1"/>
      <c r="F86" s="28"/>
      <c r="G86" s="28"/>
      <c r="H86" s="28"/>
      <c r="I86" s="28"/>
      <c r="J86" s="28"/>
      <c r="K86" s="28"/>
      <c r="L86" s="28"/>
      <c r="M86" s="2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26.25" x14ac:dyDescent="0.3">
      <c r="A87" s="1"/>
      <c r="B87" s="1"/>
      <c r="C87" s="1"/>
      <c r="D87" s="1"/>
      <c r="E87" s="1"/>
      <c r="F87" s="28"/>
      <c r="G87" s="28"/>
      <c r="H87" s="28"/>
      <c r="I87" s="28"/>
      <c r="J87" s="28"/>
      <c r="K87" s="28"/>
      <c r="L87" s="28"/>
      <c r="M87" s="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26.25" x14ac:dyDescent="0.3">
      <c r="A88" s="1"/>
      <c r="B88" s="1"/>
      <c r="C88" s="1"/>
      <c r="D88" s="1"/>
      <c r="E88" s="1"/>
      <c r="F88" s="28"/>
      <c r="G88" s="28"/>
      <c r="H88" s="28"/>
      <c r="I88" s="28"/>
      <c r="J88" s="28"/>
      <c r="K88" s="28"/>
      <c r="L88" s="28"/>
      <c r="M88" s="2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26.25" x14ac:dyDescent="0.3">
      <c r="A89" s="1"/>
      <c r="B89" s="1"/>
      <c r="C89" s="1"/>
      <c r="D89" s="1"/>
      <c r="E89" s="1"/>
      <c r="F89" s="28"/>
      <c r="G89" s="28"/>
      <c r="H89" s="28"/>
      <c r="I89" s="28"/>
      <c r="J89" s="28"/>
      <c r="K89" s="28"/>
      <c r="L89" s="28"/>
      <c r="M89" s="2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26.25" x14ac:dyDescent="0.3">
      <c r="A90" s="1"/>
      <c r="B90" s="1"/>
      <c r="C90" s="1"/>
      <c r="D90" s="1"/>
      <c r="E90" s="1"/>
      <c r="F90" s="28"/>
      <c r="G90" s="28"/>
      <c r="H90" s="28"/>
      <c r="I90" s="28"/>
      <c r="J90" s="28"/>
      <c r="K90" s="28"/>
      <c r="L90" s="28"/>
      <c r="M90" s="2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26.25" x14ac:dyDescent="0.3">
      <c r="A91" s="1"/>
      <c r="B91" s="1"/>
      <c r="C91" s="1"/>
      <c r="D91" s="1"/>
      <c r="E91" s="1"/>
      <c r="F91" s="28"/>
      <c r="G91" s="28"/>
      <c r="H91" s="28"/>
      <c r="I91" s="28"/>
      <c r="J91" s="28"/>
      <c r="K91" s="28"/>
      <c r="L91" s="28"/>
      <c r="M91" s="2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26.25" x14ac:dyDescent="0.3">
      <c r="A92" s="1"/>
      <c r="B92" s="1"/>
      <c r="C92" s="1"/>
      <c r="D92" s="1"/>
      <c r="E92" s="1"/>
      <c r="F92" s="28"/>
      <c r="G92" s="28"/>
      <c r="H92" s="28"/>
      <c r="I92" s="28"/>
      <c r="J92" s="28"/>
      <c r="K92" s="28"/>
      <c r="L92" s="28"/>
      <c r="M92" s="2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26.25" x14ac:dyDescent="0.3">
      <c r="A93" s="1"/>
      <c r="B93" s="1"/>
      <c r="C93" s="1"/>
      <c r="D93" s="1"/>
      <c r="E93" s="1"/>
      <c r="F93" s="28"/>
      <c r="G93" s="28"/>
      <c r="H93" s="28"/>
      <c r="I93" s="28"/>
      <c r="J93" s="28"/>
      <c r="K93" s="28"/>
      <c r="L93" s="28"/>
      <c r="M93" s="2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26.25" x14ac:dyDescent="0.3">
      <c r="A94" s="1"/>
      <c r="B94" s="1"/>
      <c r="C94" s="1"/>
      <c r="D94" s="1"/>
      <c r="E94" s="1"/>
      <c r="F94" s="28"/>
      <c r="G94" s="28"/>
      <c r="H94" s="28"/>
      <c r="I94" s="28"/>
      <c r="J94" s="28"/>
      <c r="K94" s="28"/>
      <c r="L94" s="28"/>
      <c r="M94" s="2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26.25" x14ac:dyDescent="0.3">
      <c r="A95" s="1"/>
      <c r="B95" s="1"/>
      <c r="C95" s="1"/>
      <c r="D95" s="1"/>
      <c r="E95" s="1"/>
      <c r="F95" s="28"/>
      <c r="G95" s="28"/>
      <c r="H95" s="28"/>
      <c r="I95" s="28"/>
      <c r="J95" s="28"/>
      <c r="K95" s="28"/>
      <c r="L95" s="28"/>
      <c r="M95" s="2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26.25" x14ac:dyDescent="0.3">
      <c r="A96" s="1"/>
      <c r="B96" s="1"/>
      <c r="C96" s="1"/>
      <c r="D96" s="1"/>
      <c r="E96" s="1"/>
      <c r="F96" s="28"/>
      <c r="G96" s="28"/>
      <c r="H96" s="28"/>
      <c r="I96" s="28"/>
      <c r="J96" s="28"/>
      <c r="K96" s="28"/>
      <c r="L96" s="28"/>
      <c r="M96" s="2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26.25" x14ac:dyDescent="0.3">
      <c r="A97" s="1"/>
      <c r="B97" s="1"/>
      <c r="C97" s="1"/>
      <c r="D97" s="1"/>
      <c r="E97" s="1"/>
      <c r="F97" s="28"/>
      <c r="G97" s="28"/>
      <c r="H97" s="28"/>
      <c r="I97" s="28"/>
      <c r="J97" s="28"/>
      <c r="K97" s="28"/>
      <c r="L97" s="28"/>
      <c r="M97" s="2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26.25" x14ac:dyDescent="0.3">
      <c r="A98" s="1"/>
      <c r="B98" s="1"/>
      <c r="C98" s="1"/>
      <c r="D98" s="1"/>
      <c r="E98" s="1"/>
      <c r="F98" s="28"/>
      <c r="G98" s="28"/>
      <c r="H98" s="28"/>
      <c r="I98" s="28"/>
      <c r="J98" s="28"/>
      <c r="K98" s="28"/>
      <c r="L98" s="28"/>
      <c r="M98" s="2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26.25" x14ac:dyDescent="0.3">
      <c r="A99" s="1"/>
      <c r="B99" s="1"/>
      <c r="C99" s="1"/>
      <c r="D99" s="1"/>
      <c r="E99" s="1"/>
      <c r="F99" s="28"/>
      <c r="G99" s="28"/>
      <c r="H99" s="28"/>
      <c r="I99" s="28"/>
      <c r="J99" s="28"/>
      <c r="K99" s="28"/>
      <c r="L99" s="28"/>
      <c r="M99" s="2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26.25" x14ac:dyDescent="0.3">
      <c r="A100" s="1"/>
      <c r="B100" s="1"/>
      <c r="C100" s="1"/>
      <c r="D100" s="1"/>
      <c r="E100" s="1"/>
      <c r="F100" s="28"/>
      <c r="G100" s="28"/>
      <c r="H100" s="28"/>
      <c r="I100" s="28"/>
      <c r="J100" s="28"/>
      <c r="K100" s="28"/>
      <c r="L100" s="28"/>
      <c r="M100" s="2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26.25" x14ac:dyDescent="0.3">
      <c r="A101" s="1"/>
      <c r="B101" s="1"/>
      <c r="C101" s="1"/>
      <c r="D101" s="1"/>
      <c r="E101" s="1"/>
      <c r="F101" s="28"/>
      <c r="G101" s="28"/>
      <c r="H101" s="28"/>
      <c r="I101" s="28"/>
      <c r="J101" s="28"/>
      <c r="K101" s="28"/>
      <c r="L101" s="28"/>
      <c r="M101" s="2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26.25" x14ac:dyDescent="0.3">
      <c r="A102" s="1"/>
      <c r="B102" s="1"/>
      <c r="C102" s="1"/>
      <c r="D102" s="1"/>
      <c r="E102" s="1"/>
      <c r="F102" s="28"/>
      <c r="G102" s="28"/>
      <c r="H102" s="28"/>
      <c r="I102" s="28"/>
      <c r="J102" s="28"/>
      <c r="K102" s="28"/>
      <c r="L102" s="28"/>
      <c r="M102" s="2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26.25" x14ac:dyDescent="0.3">
      <c r="A103" s="1"/>
      <c r="B103" s="1"/>
      <c r="C103" s="1"/>
      <c r="D103" s="1"/>
      <c r="E103" s="1"/>
      <c r="F103" s="28"/>
      <c r="G103" s="28"/>
      <c r="H103" s="28"/>
      <c r="I103" s="28"/>
      <c r="J103" s="28"/>
      <c r="K103" s="28"/>
      <c r="L103" s="28"/>
      <c r="M103" s="2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26.25" x14ac:dyDescent="0.3">
      <c r="A104" s="1"/>
      <c r="B104" s="1"/>
      <c r="C104" s="1"/>
      <c r="D104" s="1"/>
      <c r="E104" s="1"/>
      <c r="F104" s="28"/>
      <c r="G104" s="28"/>
      <c r="H104" s="28"/>
      <c r="I104" s="28"/>
      <c r="J104" s="28"/>
      <c r="K104" s="28"/>
      <c r="L104" s="28"/>
      <c r="M104" s="2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26.25" x14ac:dyDescent="0.3">
      <c r="A105" s="1"/>
      <c r="B105" s="1"/>
      <c r="C105" s="1"/>
      <c r="D105" s="1"/>
      <c r="E105" s="1"/>
      <c r="F105" s="28"/>
      <c r="G105" s="28"/>
      <c r="H105" s="28"/>
      <c r="I105" s="28"/>
      <c r="J105" s="28"/>
      <c r="K105" s="28"/>
      <c r="L105" s="28"/>
      <c r="M105" s="2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26.25" x14ac:dyDescent="0.3">
      <c r="A106" s="1"/>
      <c r="B106" s="1"/>
      <c r="C106" s="1"/>
      <c r="D106" s="1"/>
      <c r="E106" s="1"/>
      <c r="F106" s="28"/>
      <c r="G106" s="28"/>
      <c r="H106" s="28"/>
      <c r="I106" s="28"/>
      <c r="J106" s="28"/>
      <c r="K106" s="28"/>
      <c r="L106" s="28"/>
      <c r="M106" s="2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26.25" x14ac:dyDescent="0.3">
      <c r="A107" s="1"/>
      <c r="B107" s="1"/>
      <c r="C107" s="1"/>
      <c r="D107" s="1"/>
      <c r="E107" s="1"/>
      <c r="F107" s="28"/>
      <c r="G107" s="28"/>
      <c r="H107" s="28"/>
      <c r="I107" s="28"/>
      <c r="J107" s="28"/>
      <c r="K107" s="28"/>
      <c r="L107" s="28"/>
      <c r="M107" s="2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26.25" x14ac:dyDescent="0.3">
      <c r="A108" s="1"/>
      <c r="B108" s="1"/>
      <c r="C108" s="1"/>
      <c r="D108" s="1"/>
      <c r="E108" s="1"/>
      <c r="F108" s="28"/>
      <c r="G108" s="28"/>
      <c r="H108" s="28"/>
      <c r="I108" s="28"/>
      <c r="J108" s="28"/>
      <c r="K108" s="28"/>
      <c r="L108" s="28"/>
      <c r="M108" s="2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26.25" x14ac:dyDescent="0.3">
      <c r="A109" s="1"/>
      <c r="B109" s="1"/>
      <c r="C109" s="1"/>
      <c r="D109" s="1"/>
      <c r="E109" s="1"/>
      <c r="F109" s="28"/>
      <c r="G109" s="28"/>
      <c r="H109" s="28"/>
      <c r="I109" s="28"/>
      <c r="J109" s="28"/>
      <c r="K109" s="28"/>
      <c r="L109" s="28"/>
      <c r="M109" s="2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26.25" x14ac:dyDescent="0.3">
      <c r="A110" s="1"/>
      <c r="B110" s="1"/>
      <c r="C110" s="1"/>
      <c r="D110" s="1"/>
      <c r="E110" s="1"/>
      <c r="F110" s="28"/>
      <c r="G110" s="28"/>
      <c r="H110" s="28"/>
      <c r="I110" s="28"/>
      <c r="J110" s="28"/>
      <c r="K110" s="28"/>
      <c r="L110" s="28"/>
      <c r="M110" s="2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26.25" x14ac:dyDescent="0.3">
      <c r="A111" s="1"/>
      <c r="B111" s="1"/>
      <c r="C111" s="1"/>
      <c r="D111" s="1"/>
      <c r="E111" s="1"/>
      <c r="F111" s="28"/>
      <c r="G111" s="28"/>
      <c r="H111" s="28"/>
      <c r="I111" s="28"/>
      <c r="J111" s="28"/>
      <c r="K111" s="28"/>
      <c r="L111" s="28"/>
      <c r="M111" s="2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26.25" x14ac:dyDescent="0.3">
      <c r="A112" s="1"/>
      <c r="B112" s="1"/>
      <c r="C112" s="1"/>
      <c r="D112" s="1"/>
      <c r="E112" s="1"/>
      <c r="F112" s="28"/>
      <c r="G112" s="28"/>
      <c r="H112" s="28"/>
      <c r="I112" s="28"/>
      <c r="J112" s="28"/>
      <c r="K112" s="28"/>
      <c r="L112" s="28"/>
      <c r="M112" s="2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8.75" x14ac:dyDescent="0.3">
      <c r="A113" s="1"/>
      <c r="B113" s="1"/>
      <c r="C113" s="1"/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8.75" x14ac:dyDescent="0.3">
      <c r="A114" s="1"/>
      <c r="B114" s="1"/>
      <c r="C114" s="1"/>
      <c r="D114" s="1"/>
      <c r="E114" s="1"/>
      <c r="F114" s="5"/>
      <c r="G114" s="5"/>
      <c r="H114" s="5"/>
      <c r="I114" s="5"/>
      <c r="J114" s="5"/>
      <c r="K114" s="5"/>
      <c r="L114" s="5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</sheetData>
  <mergeCells count="23">
    <mergeCell ref="Q12:S12"/>
    <mergeCell ref="G49:M49"/>
    <mergeCell ref="G17:M17"/>
    <mergeCell ref="F22:M22"/>
    <mergeCell ref="F23:M23"/>
    <mergeCell ref="F24:F25"/>
    <mergeCell ref="G32:M32"/>
    <mergeCell ref="F53:M53"/>
    <mergeCell ref="G33:M33"/>
    <mergeCell ref="G71:M71"/>
    <mergeCell ref="F2:M3"/>
    <mergeCell ref="F8:F9"/>
    <mergeCell ref="F7:M7"/>
    <mergeCell ref="F6:M6"/>
    <mergeCell ref="G16:M16"/>
    <mergeCell ref="F54:M54"/>
    <mergeCell ref="F55:F56"/>
    <mergeCell ref="G63:M63"/>
    <mergeCell ref="G64:M64"/>
    <mergeCell ref="F38:M38"/>
    <mergeCell ref="F39:M39"/>
    <mergeCell ref="F40:F41"/>
    <mergeCell ref="G48:M48"/>
  </mergeCells>
  <phoneticPr fontId="4" type="noConversion"/>
  <conditionalFormatting sqref="G10:M14">
    <cfRule type="cellIs" dxfId="76" priority="68" operator="equal">
      <formula>"-"</formula>
    </cfRule>
    <cfRule type="cellIs" dxfId="75" priority="67" operator="greaterThan">
      <formula>0</formula>
    </cfRule>
    <cfRule type="cellIs" dxfId="74" priority="66" operator="lessThan">
      <formula>0</formula>
    </cfRule>
    <cfRule type="cellIs" dxfId="73" priority="65" operator="equal">
      <formula>"-"</formula>
    </cfRule>
    <cfRule type="cellIs" dxfId="72" priority="69" operator="equal">
      <formula>"0,-"</formula>
    </cfRule>
  </conditionalFormatting>
  <conditionalFormatting sqref="G26:M30">
    <cfRule type="cellIs" dxfId="71" priority="62" operator="greaterThan">
      <formula>0</formula>
    </cfRule>
    <cfRule type="cellIs" dxfId="70" priority="64" operator="equal">
      <formula>"0,-"</formula>
    </cfRule>
    <cfRule type="cellIs" dxfId="69" priority="63" operator="equal">
      <formula>"-"</formula>
    </cfRule>
    <cfRule type="cellIs" dxfId="68" priority="61" operator="lessThan">
      <formula>0</formula>
    </cfRule>
    <cfRule type="cellIs" dxfId="67" priority="60" operator="equal">
      <formula>"-"</formula>
    </cfRule>
  </conditionalFormatting>
  <conditionalFormatting sqref="G42:M46">
    <cfRule type="cellIs" dxfId="66" priority="55" operator="equal">
      <formula>"-"</formula>
    </cfRule>
    <cfRule type="cellIs" dxfId="65" priority="59" operator="equal">
      <formula>"0,-"</formula>
    </cfRule>
    <cfRule type="cellIs" dxfId="64" priority="58" operator="equal">
      <formula>"-"</formula>
    </cfRule>
    <cfRule type="cellIs" dxfId="63" priority="57" operator="greaterThan">
      <formula>0</formula>
    </cfRule>
    <cfRule type="cellIs" dxfId="62" priority="56" operator="lessThan">
      <formula>0</formula>
    </cfRule>
  </conditionalFormatting>
  <conditionalFormatting sqref="G57:M61">
    <cfRule type="cellIs" dxfId="61" priority="51" operator="lessThan">
      <formula>0</formula>
    </cfRule>
    <cfRule type="cellIs" dxfId="60" priority="50" operator="equal">
      <formula>"-"</formula>
    </cfRule>
    <cfRule type="cellIs" dxfId="59" priority="54" operator="equal">
      <formula>"0,-"</formula>
    </cfRule>
    <cfRule type="cellIs" dxfId="58" priority="53" operator="equal">
      <formula>"-"</formula>
    </cfRule>
    <cfRule type="cellIs" dxfId="57" priority="52" operator="greaterThan">
      <formula>0</formula>
    </cfRule>
  </conditionalFormatting>
  <conditionalFormatting sqref="G70:M71">
    <cfRule type="cellIs" dxfId="56" priority="47" operator="greaterThan">
      <formula>0</formula>
    </cfRule>
    <cfRule type="cellIs" dxfId="55" priority="46" operator="lessThan">
      <formula>0</formula>
    </cfRule>
  </conditionalFormatting>
  <conditionalFormatting sqref="O14">
    <cfRule type="cellIs" dxfId="54" priority="8" operator="greaterThan">
      <formula>0</formula>
    </cfRule>
    <cfRule type="cellIs" dxfId="53" priority="6" operator="equal">
      <formula>"-"</formula>
    </cfRule>
    <cfRule type="cellIs" dxfId="52" priority="7" operator="lessThan">
      <formula>0</formula>
    </cfRule>
    <cfRule type="cellIs" dxfId="51" priority="9" operator="equal">
      <formula>"-"</formula>
    </cfRule>
    <cfRule type="cellIs" dxfId="50" priority="10" operator="equal">
      <formula>"0,-"</formula>
    </cfRule>
  </conditionalFormatting>
  <conditionalFormatting sqref="O28">
    <cfRule type="cellIs" dxfId="49" priority="2" operator="lessThan">
      <formula>0</formula>
    </cfRule>
    <cfRule type="cellIs" dxfId="48" priority="3" operator="greaterThan">
      <formula>0</formula>
    </cfRule>
    <cfRule type="cellIs" dxfId="47" priority="4" operator="equal">
      <formula>"-"</formula>
    </cfRule>
    <cfRule type="cellIs" dxfId="46" priority="5" operator="equal">
      <formula>"0,-"</formula>
    </cfRule>
    <cfRule type="cellIs" dxfId="45" priority="1" operator="equal">
      <formula>"-"</formula>
    </cfRule>
  </conditionalFormatting>
  <conditionalFormatting sqref="P9:P10">
    <cfRule type="cellIs" dxfId="44" priority="41" operator="equal">
      <formula>"-"</formula>
    </cfRule>
    <cfRule type="cellIs" dxfId="43" priority="42" operator="lessThan">
      <formula>0</formula>
    </cfRule>
    <cfRule type="cellIs" dxfId="42" priority="43" operator="greaterThan">
      <formula>0</formula>
    </cfRule>
    <cfRule type="cellIs" dxfId="41" priority="45" operator="equal">
      <formula>"0,-"</formula>
    </cfRule>
    <cfRule type="cellIs" dxfId="40" priority="44" operator="equal">
      <formula>"-"</formula>
    </cfRule>
  </conditionalFormatting>
  <conditionalFormatting sqref="P25:P26">
    <cfRule type="cellIs" dxfId="39" priority="38" operator="greaterThan">
      <formula>0</formula>
    </cfRule>
    <cfRule type="cellIs" dxfId="38" priority="39" operator="equal">
      <formula>"-"</formula>
    </cfRule>
    <cfRule type="cellIs" dxfId="37" priority="40" operator="equal">
      <formula>"0,-"</formula>
    </cfRule>
    <cfRule type="cellIs" dxfId="36" priority="36" operator="equal">
      <formula>"-"</formula>
    </cfRule>
    <cfRule type="cellIs" dxfId="35" priority="37" operator="lessThan">
      <formula>0</formula>
    </cfRule>
  </conditionalFormatting>
  <conditionalFormatting sqref="P42:P43">
    <cfRule type="cellIs" dxfId="34" priority="35" operator="equal">
      <formula>"0,-"</formula>
    </cfRule>
    <cfRule type="cellIs" dxfId="33" priority="34" operator="equal">
      <formula>"-"</formula>
    </cfRule>
    <cfRule type="cellIs" dxfId="32" priority="33" operator="greaterThan">
      <formula>0</formula>
    </cfRule>
    <cfRule type="cellIs" dxfId="31" priority="32" operator="lessThan">
      <formula>0</formula>
    </cfRule>
    <cfRule type="cellIs" dxfId="30" priority="31" operator="equal">
      <formula>"-"</formula>
    </cfRule>
  </conditionalFormatting>
  <conditionalFormatting sqref="P57:P58">
    <cfRule type="cellIs" dxfId="29" priority="30" operator="equal">
      <formula>"0,-"</formula>
    </cfRule>
    <cfRule type="cellIs" dxfId="28" priority="29" operator="equal">
      <formula>"-"</formula>
    </cfRule>
    <cfRule type="cellIs" dxfId="27" priority="28" operator="greaterThan">
      <formula>0</formula>
    </cfRule>
    <cfRule type="cellIs" dxfId="26" priority="27" operator="lessThan">
      <formula>0</formula>
    </cfRule>
    <cfRule type="cellIs" dxfId="25" priority="26" operator="equal">
      <formula>"-"</formula>
    </cfRule>
  </conditionalFormatting>
  <conditionalFormatting sqref="P61:P62">
    <cfRule type="cellIs" dxfId="24" priority="15" operator="equal">
      <formula>"0,-"</formula>
    </cfRule>
    <cfRule type="cellIs" dxfId="23" priority="14" operator="equal">
      <formula>"-"</formula>
    </cfRule>
    <cfRule type="cellIs" dxfId="22" priority="13" operator="greaterThan">
      <formula>0</formula>
    </cfRule>
    <cfRule type="cellIs" dxfId="21" priority="12" operator="lessThan">
      <formula>0</formula>
    </cfRule>
    <cfRule type="cellIs" dxfId="20" priority="11" operator="equal">
      <formula>"-"</formula>
    </cfRule>
  </conditionalFormatting>
  <conditionalFormatting sqref="P70:P71">
    <cfRule type="cellIs" dxfId="19" priority="20" operator="equal">
      <formula>"0,-"</formula>
    </cfRule>
    <cfRule type="cellIs" dxfId="18" priority="19" operator="equal">
      <formula>"-"</formula>
    </cfRule>
    <cfRule type="cellIs" dxfId="17" priority="18" operator="greaterThan">
      <formula>0</formula>
    </cfRule>
    <cfRule type="cellIs" dxfId="16" priority="17" operator="lessThan">
      <formula>0</formula>
    </cfRule>
    <cfRule type="cellIs" dxfId="15" priority="16" operator="equal">
      <formula>"-"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5D50-355E-4094-9624-91220D36DE94}">
  <dimension ref="F8:M31"/>
  <sheetViews>
    <sheetView tabSelected="1" topLeftCell="B11" zoomScale="70" zoomScaleNormal="70" workbookViewId="0">
      <selection activeCell="G70" sqref="G70"/>
    </sheetView>
  </sheetViews>
  <sheetFormatPr defaultRowHeight="15" x14ac:dyDescent="0.25"/>
  <cols>
    <col min="6" max="6" width="19.85546875" bestFit="1" customWidth="1"/>
    <col min="7" max="9" width="44.28515625" bestFit="1" customWidth="1"/>
    <col min="10" max="13" width="45.85546875" bestFit="1" customWidth="1"/>
  </cols>
  <sheetData>
    <row r="8" spans="6:13" ht="13.5" customHeight="1" x14ac:dyDescent="0.25"/>
    <row r="9" spans="6:13" hidden="1" x14ac:dyDescent="0.25"/>
    <row r="10" spans="6:13" hidden="1" x14ac:dyDescent="0.25"/>
    <row r="11" spans="6:13" x14ac:dyDescent="0.25">
      <c r="F11" s="66" t="s">
        <v>14</v>
      </c>
      <c r="G11" s="67"/>
      <c r="H11" s="67"/>
      <c r="I11" s="67"/>
      <c r="J11" s="67"/>
      <c r="K11" s="67"/>
      <c r="L11" s="67"/>
      <c r="M11" s="67"/>
    </row>
    <row r="12" spans="6:13" ht="50.25" customHeight="1" x14ac:dyDescent="0.25">
      <c r="F12" s="67"/>
      <c r="G12" s="67"/>
      <c r="H12" s="67"/>
      <c r="I12" s="67"/>
      <c r="J12" s="67"/>
      <c r="K12" s="67"/>
      <c r="L12" s="67"/>
      <c r="M12" s="67"/>
    </row>
    <row r="13" spans="6:13" ht="18.75" x14ac:dyDescent="0.3">
      <c r="F13" s="1"/>
      <c r="G13" s="1"/>
      <c r="H13" s="1"/>
      <c r="I13" s="1"/>
      <c r="J13" s="1"/>
      <c r="K13" s="1"/>
      <c r="L13" s="1"/>
      <c r="M13" s="1"/>
    </row>
    <row r="14" spans="6:13" ht="18.75" x14ac:dyDescent="0.3">
      <c r="F14" s="1"/>
      <c r="G14" s="1"/>
      <c r="H14" s="1"/>
      <c r="I14" s="1"/>
      <c r="J14" s="1"/>
      <c r="K14" s="1"/>
      <c r="L14" s="1"/>
    </row>
    <row r="15" spans="6:13" ht="36" x14ac:dyDescent="0.55000000000000004">
      <c r="F15" s="60" t="s">
        <v>11</v>
      </c>
      <c r="G15" s="61"/>
      <c r="H15" s="61"/>
      <c r="I15" s="61"/>
      <c r="J15" s="61"/>
      <c r="K15" s="61"/>
      <c r="L15" s="61"/>
      <c r="M15" s="61"/>
    </row>
    <row r="16" spans="6:13" ht="36" x14ac:dyDescent="0.55000000000000004">
      <c r="F16" s="69" t="s">
        <v>10</v>
      </c>
      <c r="G16" s="69"/>
      <c r="H16" s="69"/>
      <c r="I16" s="69"/>
      <c r="J16" s="69"/>
      <c r="K16" s="69"/>
      <c r="L16" s="69"/>
      <c r="M16" s="69"/>
    </row>
    <row r="17" spans="6:13" ht="35.25" x14ac:dyDescent="0.25">
      <c r="F17" s="68" t="s">
        <v>0</v>
      </c>
      <c r="G17" s="11" t="s">
        <v>1</v>
      </c>
      <c r="H17" s="11" t="s">
        <v>2</v>
      </c>
      <c r="I17" s="11" t="s">
        <v>3</v>
      </c>
      <c r="J17" s="11" t="s">
        <v>4</v>
      </c>
      <c r="K17" s="11" t="s">
        <v>5</v>
      </c>
      <c r="L17" s="11" t="s">
        <v>6</v>
      </c>
      <c r="M17" s="11" t="s">
        <v>7</v>
      </c>
    </row>
    <row r="18" spans="6:13" ht="35.25" x14ac:dyDescent="0.25">
      <c r="F18" s="68"/>
      <c r="G18" s="12">
        <v>45635</v>
      </c>
      <c r="H18" s="12">
        <v>45636</v>
      </c>
      <c r="I18" s="12">
        <v>45637</v>
      </c>
      <c r="J18" s="12">
        <v>45638</v>
      </c>
      <c r="K18" s="12">
        <v>45639</v>
      </c>
      <c r="L18" s="12">
        <v>45640</v>
      </c>
      <c r="M18" s="12">
        <v>45641</v>
      </c>
    </row>
    <row r="19" spans="6:13" ht="35.25" x14ac:dyDescent="0.25">
      <c r="F19" s="77">
        <v>1</v>
      </c>
      <c r="G19" s="14">
        <v>-100</v>
      </c>
      <c r="H19" s="14">
        <v>86</v>
      </c>
      <c r="I19" s="14">
        <v>-100</v>
      </c>
      <c r="J19" s="15">
        <v>-100</v>
      </c>
      <c r="K19" s="16"/>
      <c r="L19" s="15"/>
      <c r="M19" s="15"/>
    </row>
    <row r="20" spans="6:13" ht="35.25" x14ac:dyDescent="0.25">
      <c r="F20" s="78"/>
      <c r="G20" s="14" t="s">
        <v>12</v>
      </c>
      <c r="H20" s="14">
        <f>186*86%</f>
        <v>159.96</v>
      </c>
      <c r="I20" s="14" t="s">
        <v>12</v>
      </c>
      <c r="J20" s="15" t="s">
        <v>12</v>
      </c>
      <c r="K20" s="15"/>
      <c r="L20" s="15"/>
      <c r="M20" s="15"/>
    </row>
    <row r="21" spans="6:13" ht="35.25" x14ac:dyDescent="0.25">
      <c r="F21" s="77">
        <v>2</v>
      </c>
      <c r="G21" s="14">
        <v>86</v>
      </c>
      <c r="H21" s="14">
        <v>86</v>
      </c>
      <c r="I21" s="14">
        <v>86</v>
      </c>
      <c r="J21" s="14">
        <v>86</v>
      </c>
      <c r="K21" s="16"/>
      <c r="L21" s="15"/>
      <c r="M21" s="15"/>
    </row>
    <row r="22" spans="6:13" ht="35.25" x14ac:dyDescent="0.25">
      <c r="F22" s="78"/>
      <c r="G22" s="14">
        <v>-186</v>
      </c>
      <c r="H22" s="14">
        <v>-186</v>
      </c>
      <c r="I22" s="14">
        <f>186*86%</f>
        <v>159.96</v>
      </c>
      <c r="J22" s="14">
        <f>186*86%</f>
        <v>159.96</v>
      </c>
      <c r="K22" s="15"/>
      <c r="L22" s="15"/>
      <c r="M22" s="15"/>
    </row>
    <row r="23" spans="6:13" ht="35.25" x14ac:dyDescent="0.25">
      <c r="F23" s="77">
        <v>3</v>
      </c>
      <c r="G23" s="14">
        <v>-100</v>
      </c>
      <c r="H23" s="14">
        <v>86</v>
      </c>
      <c r="I23" s="14">
        <v>-100</v>
      </c>
      <c r="J23" s="15">
        <v>-100</v>
      </c>
      <c r="K23" s="15"/>
      <c r="L23" s="15"/>
      <c r="M23" s="15"/>
    </row>
    <row r="24" spans="6:13" ht="35.25" x14ac:dyDescent="0.25">
      <c r="F24" s="78"/>
      <c r="G24" s="14" t="s">
        <v>12</v>
      </c>
      <c r="H24" s="14">
        <v>-186</v>
      </c>
      <c r="I24" s="14" t="s">
        <v>12</v>
      </c>
      <c r="J24" s="15" t="s">
        <v>12</v>
      </c>
      <c r="K24" s="15"/>
      <c r="L24" s="15"/>
      <c r="M24" s="15"/>
    </row>
    <row r="25" spans="6:13" ht="35.25" x14ac:dyDescent="0.25">
      <c r="F25" s="77">
        <v>4</v>
      </c>
      <c r="G25" s="14">
        <v>86</v>
      </c>
      <c r="H25" s="14">
        <v>86</v>
      </c>
      <c r="I25" s="14">
        <v>-100</v>
      </c>
      <c r="J25" s="14">
        <v>86</v>
      </c>
      <c r="K25" s="15"/>
      <c r="L25" s="15"/>
      <c r="M25" s="15"/>
    </row>
    <row r="26" spans="6:13" ht="35.25" x14ac:dyDescent="0.25">
      <c r="F26" s="78"/>
      <c r="G26" s="14">
        <f>186*86%</f>
        <v>159.96</v>
      </c>
      <c r="H26" s="14">
        <v>-186</v>
      </c>
      <c r="I26" s="14" t="s">
        <v>12</v>
      </c>
      <c r="J26" s="14">
        <f>186*86%</f>
        <v>159.96</v>
      </c>
      <c r="K26" s="15"/>
      <c r="L26" s="15"/>
      <c r="M26" s="15"/>
    </row>
    <row r="27" spans="6:13" ht="35.25" x14ac:dyDescent="0.25">
      <c r="F27" s="77">
        <v>5</v>
      </c>
      <c r="G27" s="14">
        <v>86</v>
      </c>
      <c r="H27" s="14">
        <v>86</v>
      </c>
      <c r="I27" s="14">
        <v>-100</v>
      </c>
      <c r="J27" s="15" t="s">
        <v>12</v>
      </c>
      <c r="K27" s="15"/>
      <c r="L27" s="15"/>
      <c r="M27" s="15"/>
    </row>
    <row r="28" spans="6:13" ht="35.25" x14ac:dyDescent="0.25">
      <c r="F28" s="78"/>
      <c r="G28" s="14">
        <f>186*86%</f>
        <v>159.96</v>
      </c>
      <c r="H28" s="14">
        <f>186*86%</f>
        <v>159.96</v>
      </c>
      <c r="I28" s="14" t="s">
        <v>12</v>
      </c>
      <c r="J28" s="15" t="s">
        <v>12</v>
      </c>
      <c r="K28" s="15"/>
      <c r="L28" s="15"/>
      <c r="M28" s="15"/>
    </row>
    <row r="29" spans="6:13" ht="35.25" x14ac:dyDescent="0.25">
      <c r="F29" s="17" t="s">
        <v>9</v>
      </c>
      <c r="G29" s="18">
        <f>SUM(G19:G28)</f>
        <v>191.92000000000002</v>
      </c>
      <c r="H29" s="18">
        <f>SUM(H19:H23)</f>
        <v>231.96000000000004</v>
      </c>
      <c r="I29" s="18">
        <f>SUM(I19:I28)</f>
        <v>-154.04</v>
      </c>
      <c r="J29" s="18">
        <f>SUM(J19:J28)</f>
        <v>291.92</v>
      </c>
      <c r="K29" s="18">
        <f t="shared" ref="K29:M29" si="0">SUM(K19:K23)</f>
        <v>0</v>
      </c>
      <c r="L29" s="18">
        <f t="shared" si="0"/>
        <v>0</v>
      </c>
      <c r="M29" s="18">
        <f t="shared" si="0"/>
        <v>0</v>
      </c>
    </row>
    <row r="30" spans="6:13" ht="35.25" x14ac:dyDescent="0.25">
      <c r="F30" s="10" t="s">
        <v>8</v>
      </c>
      <c r="G30" s="70">
        <f>SUM(G29:M29)</f>
        <v>561.76</v>
      </c>
      <c r="H30" s="71"/>
      <c r="I30" s="71"/>
      <c r="J30" s="71"/>
      <c r="K30" s="71"/>
      <c r="L30" s="71"/>
      <c r="M30" s="72"/>
    </row>
    <row r="31" spans="6:13" ht="35.25" x14ac:dyDescent="0.5">
      <c r="F31" s="9" t="s">
        <v>13</v>
      </c>
      <c r="G31" s="74"/>
      <c r="H31" s="75"/>
      <c r="I31" s="75"/>
      <c r="J31" s="75"/>
      <c r="K31" s="75"/>
      <c r="L31" s="75"/>
      <c r="M31" s="76"/>
    </row>
  </sheetData>
  <mergeCells count="11">
    <mergeCell ref="G31:M31"/>
    <mergeCell ref="F19:F20"/>
    <mergeCell ref="F21:F22"/>
    <mergeCell ref="F23:F24"/>
    <mergeCell ref="F25:F26"/>
    <mergeCell ref="F27:F28"/>
    <mergeCell ref="F11:M12"/>
    <mergeCell ref="F15:M15"/>
    <mergeCell ref="F16:M16"/>
    <mergeCell ref="F17:F18"/>
    <mergeCell ref="G30:M30"/>
  </mergeCells>
  <conditionalFormatting sqref="G19:M28">
    <cfRule type="cellIs" dxfId="14" priority="1" operator="equal">
      <formula>"-"</formula>
    </cfRule>
    <cfRule type="cellIs" dxfId="13" priority="2" operator="lessThan">
      <formula>0</formula>
    </cfRule>
    <cfRule type="cellIs" dxfId="12" priority="3" operator="greaterThan">
      <formula>0</formula>
    </cfRule>
    <cfRule type="cellIs" dxfId="11" priority="4" operator="equal">
      <formula>"-"</formula>
    </cfRule>
    <cfRule type="cellIs" dxfId="10" priority="5" operator="equal">
      <formula>"0,-"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955D-B007-4753-ABBD-6A5BDD24C572}">
  <dimension ref="A1:AJ295"/>
  <sheetViews>
    <sheetView zoomScale="130" zoomScaleNormal="130" workbookViewId="0">
      <selection activeCell="H10" sqref="H10"/>
    </sheetView>
  </sheetViews>
  <sheetFormatPr defaultRowHeight="15" x14ac:dyDescent="0.25"/>
  <cols>
    <col min="4" max="4" width="12.7109375" bestFit="1" customWidth="1"/>
    <col min="5" max="5" width="22.5703125" bestFit="1" customWidth="1"/>
    <col min="11" max="11" width="14.85546875" bestFit="1" customWidth="1"/>
    <col min="12" max="12" width="17.140625" bestFit="1" customWidth="1"/>
    <col min="13" max="13" width="19.7109375" bestFit="1" customWidth="1"/>
  </cols>
  <sheetData>
    <row r="1" spans="1:36" ht="18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8.7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9.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31.5" thickBot="1" x14ac:dyDescent="0.5">
      <c r="A4" s="1"/>
      <c r="B4" s="1"/>
      <c r="C4" s="1"/>
      <c r="D4" s="89" t="s">
        <v>17</v>
      </c>
      <c r="E4" s="90"/>
      <c r="F4" s="90"/>
      <c r="G4" s="90"/>
      <c r="H4" s="90"/>
      <c r="I4" s="90"/>
      <c r="J4" s="90"/>
      <c r="K4" s="90"/>
      <c r="L4" s="90"/>
      <c r="M4" s="91"/>
      <c r="N4" s="3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.75" x14ac:dyDescent="0.3">
      <c r="A5" s="1"/>
      <c r="B5" s="1"/>
      <c r="C5" s="3"/>
      <c r="D5" s="92" t="s">
        <v>25</v>
      </c>
      <c r="E5" s="93"/>
      <c r="F5" s="93"/>
      <c r="G5" s="93"/>
      <c r="H5" s="93"/>
      <c r="I5" s="93"/>
      <c r="J5" s="93"/>
      <c r="K5" s="93"/>
      <c r="L5" s="93"/>
      <c r="M5" s="9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9.5" thickBot="1" x14ac:dyDescent="0.35">
      <c r="A6" s="1"/>
      <c r="B6" s="1"/>
      <c r="C6" s="3"/>
      <c r="D6" s="95"/>
      <c r="E6" s="96"/>
      <c r="F6" s="96"/>
      <c r="G6" s="96"/>
      <c r="H6" s="96"/>
      <c r="I6" s="96"/>
      <c r="J6" s="96"/>
      <c r="K6" s="96"/>
      <c r="L6" s="96"/>
      <c r="M6" s="9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.75" x14ac:dyDescent="0.3">
      <c r="A7" s="1"/>
      <c r="B7" s="1"/>
      <c r="C7" s="1"/>
      <c r="D7" s="100" t="s">
        <v>30</v>
      </c>
      <c r="E7" s="98" t="s">
        <v>18</v>
      </c>
      <c r="F7" s="85" t="s">
        <v>19</v>
      </c>
      <c r="G7" s="85"/>
      <c r="H7" s="85"/>
      <c r="I7" s="85"/>
      <c r="J7" s="85"/>
      <c r="K7" s="85" t="s">
        <v>31</v>
      </c>
      <c r="L7" s="85" t="s">
        <v>32</v>
      </c>
      <c r="M7" s="87" t="s">
        <v>33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9.5" thickBot="1" x14ac:dyDescent="0.35">
      <c r="A8" s="1"/>
      <c r="B8" s="1"/>
      <c r="C8" s="1"/>
      <c r="D8" s="101"/>
      <c r="E8" s="99"/>
      <c r="F8" s="7" t="s">
        <v>20</v>
      </c>
      <c r="G8" s="7" t="s">
        <v>21</v>
      </c>
      <c r="H8" s="7" t="s">
        <v>22</v>
      </c>
      <c r="I8" s="7" t="s">
        <v>23</v>
      </c>
      <c r="J8" s="7" t="s">
        <v>24</v>
      </c>
      <c r="K8" s="86"/>
      <c r="L8" s="86"/>
      <c r="M8" s="8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8.75" x14ac:dyDescent="0.3">
      <c r="A9" s="1"/>
      <c r="B9" s="1"/>
      <c r="C9" s="1"/>
      <c r="D9" s="79" t="s">
        <v>26</v>
      </c>
      <c r="E9" s="48">
        <v>45627</v>
      </c>
      <c r="F9" s="38">
        <v>86</v>
      </c>
      <c r="G9" s="6">
        <v>86</v>
      </c>
      <c r="H9" s="6">
        <v>86</v>
      </c>
      <c r="I9" s="6" t="s">
        <v>12</v>
      </c>
      <c r="J9" s="41" t="s">
        <v>12</v>
      </c>
      <c r="K9" s="44">
        <f>SUM(F9:J9)</f>
        <v>258</v>
      </c>
      <c r="L9" s="82">
        <f>SUM(K9:K16)</f>
        <v>2</v>
      </c>
      <c r="M9" s="79">
        <f>SUM(L9:L39)</f>
        <v>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9.5" thickBot="1" x14ac:dyDescent="0.35">
      <c r="A10" s="1"/>
      <c r="B10" s="1"/>
      <c r="C10" s="1"/>
      <c r="D10" s="80"/>
      <c r="E10" s="36">
        <v>45628</v>
      </c>
      <c r="F10" s="39">
        <v>-100</v>
      </c>
      <c r="G10" s="4">
        <v>-100</v>
      </c>
      <c r="H10" s="4">
        <v>86</v>
      </c>
      <c r="I10" s="4">
        <v>86</v>
      </c>
      <c r="J10" s="42">
        <v>-100</v>
      </c>
      <c r="K10" s="45">
        <f>SUM(F10:J10)</f>
        <v>-128</v>
      </c>
      <c r="L10" s="83"/>
      <c r="M10" s="8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8.75" x14ac:dyDescent="0.3">
      <c r="A11" s="1"/>
      <c r="B11" s="1"/>
      <c r="C11" s="1"/>
      <c r="D11" s="80"/>
      <c r="E11" s="36">
        <v>45629</v>
      </c>
      <c r="F11" s="39">
        <v>-100</v>
      </c>
      <c r="G11" s="39">
        <v>-100</v>
      </c>
      <c r="H11" s="39">
        <v>86</v>
      </c>
      <c r="I11" s="39">
        <v>86</v>
      </c>
      <c r="J11" s="39">
        <v>-100</v>
      </c>
      <c r="K11" s="44">
        <f t="shared" ref="K11:K39" si="0">SUM(F11:J11)</f>
        <v>-128</v>
      </c>
      <c r="L11" s="83"/>
      <c r="M11" s="8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9.5" thickBot="1" x14ac:dyDescent="0.35">
      <c r="A12" s="1"/>
      <c r="B12" s="1"/>
      <c r="C12" s="1"/>
      <c r="D12" s="80"/>
      <c r="E12" s="36">
        <v>45630</v>
      </c>
      <c r="F12" s="39" t="s">
        <v>12</v>
      </c>
      <c r="G12" s="39" t="s">
        <v>12</v>
      </c>
      <c r="H12" s="39" t="s">
        <v>12</v>
      </c>
      <c r="I12" s="39" t="s">
        <v>12</v>
      </c>
      <c r="J12" s="39" t="s">
        <v>12</v>
      </c>
      <c r="K12" s="45">
        <f t="shared" si="0"/>
        <v>0</v>
      </c>
      <c r="L12" s="83"/>
      <c r="M12" s="8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8.75" x14ac:dyDescent="0.3">
      <c r="A13" s="1"/>
      <c r="B13" s="1"/>
      <c r="C13" s="1"/>
      <c r="D13" s="80"/>
      <c r="E13" s="36">
        <v>45631</v>
      </c>
      <c r="F13" s="39" t="s">
        <v>12</v>
      </c>
      <c r="G13" s="39" t="s">
        <v>12</v>
      </c>
      <c r="H13" s="39" t="s">
        <v>12</v>
      </c>
      <c r="I13" s="39" t="s">
        <v>12</v>
      </c>
      <c r="J13" s="39" t="s">
        <v>12</v>
      </c>
      <c r="K13" s="44">
        <f t="shared" si="0"/>
        <v>0</v>
      </c>
      <c r="L13" s="83"/>
      <c r="M13" s="80"/>
      <c r="N13" s="1"/>
      <c r="O13" s="1" t="s">
        <v>34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9.5" thickBot="1" x14ac:dyDescent="0.35">
      <c r="A14" s="1"/>
      <c r="B14" s="1"/>
      <c r="C14" s="1"/>
      <c r="D14" s="80"/>
      <c r="E14" s="36">
        <v>45632</v>
      </c>
      <c r="F14" s="39" t="s">
        <v>12</v>
      </c>
      <c r="G14" s="39" t="s">
        <v>12</v>
      </c>
      <c r="H14" s="39" t="s">
        <v>12</v>
      </c>
      <c r="I14" s="39" t="s">
        <v>12</v>
      </c>
      <c r="J14" s="39" t="s">
        <v>12</v>
      </c>
      <c r="K14" s="45">
        <f t="shared" si="0"/>
        <v>0</v>
      </c>
      <c r="L14" s="83"/>
      <c r="M14" s="8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8.75" x14ac:dyDescent="0.3">
      <c r="A15" s="1"/>
      <c r="B15" s="1"/>
      <c r="C15" s="1"/>
      <c r="D15" s="80"/>
      <c r="E15" s="36">
        <v>45633</v>
      </c>
      <c r="F15" s="39" t="s">
        <v>12</v>
      </c>
      <c r="G15" s="39" t="s">
        <v>12</v>
      </c>
      <c r="H15" s="39" t="s">
        <v>12</v>
      </c>
      <c r="I15" s="39" t="s">
        <v>12</v>
      </c>
      <c r="J15" s="39" t="s">
        <v>12</v>
      </c>
      <c r="K15" s="44">
        <f t="shared" si="0"/>
        <v>0</v>
      </c>
      <c r="L15" s="83"/>
      <c r="M15" s="8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9.5" thickBot="1" x14ac:dyDescent="0.35">
      <c r="A16" s="1"/>
      <c r="B16" s="1"/>
      <c r="C16" s="1"/>
      <c r="D16" s="81"/>
      <c r="E16" s="37">
        <v>45634</v>
      </c>
      <c r="F16" s="40" t="s">
        <v>12</v>
      </c>
      <c r="G16" s="40" t="s">
        <v>12</v>
      </c>
      <c r="H16" s="40" t="s">
        <v>12</v>
      </c>
      <c r="I16" s="40" t="s">
        <v>12</v>
      </c>
      <c r="J16" s="40" t="s">
        <v>12</v>
      </c>
      <c r="K16" s="45">
        <f t="shared" si="0"/>
        <v>0</v>
      </c>
      <c r="L16" s="84"/>
      <c r="M16" s="8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8.75" x14ac:dyDescent="0.3">
      <c r="A17" s="1"/>
      <c r="B17" s="1"/>
      <c r="C17" s="1"/>
      <c r="D17" s="79" t="s">
        <v>27</v>
      </c>
      <c r="E17" s="35">
        <v>45635</v>
      </c>
      <c r="F17" s="38"/>
      <c r="G17" s="6"/>
      <c r="H17" s="6"/>
      <c r="I17" s="6"/>
      <c r="J17" s="41"/>
      <c r="K17" s="44">
        <f t="shared" si="0"/>
        <v>0</v>
      </c>
      <c r="L17" s="83">
        <f>SUM(K17:K23)</f>
        <v>0</v>
      </c>
      <c r="M17" s="8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9.5" thickBot="1" x14ac:dyDescent="0.35">
      <c r="A18" s="1"/>
      <c r="B18" s="1"/>
      <c r="C18" s="1"/>
      <c r="D18" s="80"/>
      <c r="E18" s="36">
        <v>45636</v>
      </c>
      <c r="F18" s="39"/>
      <c r="G18" s="4"/>
      <c r="H18" s="4"/>
      <c r="I18" s="4"/>
      <c r="J18" s="42"/>
      <c r="K18" s="45">
        <f t="shared" si="0"/>
        <v>0</v>
      </c>
      <c r="L18" s="83"/>
      <c r="M18" s="8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8.75" x14ac:dyDescent="0.3">
      <c r="A19" s="1"/>
      <c r="B19" s="1"/>
      <c r="C19" s="1"/>
      <c r="D19" s="80"/>
      <c r="E19" s="36">
        <v>45637</v>
      </c>
      <c r="F19" s="39"/>
      <c r="G19" s="4"/>
      <c r="H19" s="4"/>
      <c r="I19" s="4"/>
      <c r="J19" s="42"/>
      <c r="K19" s="44">
        <f t="shared" si="0"/>
        <v>0</v>
      </c>
      <c r="L19" s="83"/>
      <c r="M19" s="8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9.5" thickBot="1" x14ac:dyDescent="0.35">
      <c r="A20" s="1"/>
      <c r="B20" s="1"/>
      <c r="C20" s="1"/>
      <c r="D20" s="80"/>
      <c r="E20" s="36">
        <v>45638</v>
      </c>
      <c r="F20" s="39"/>
      <c r="G20" s="4"/>
      <c r="H20" s="4"/>
      <c r="I20" s="4"/>
      <c r="J20" s="42"/>
      <c r="K20" s="45">
        <f t="shared" si="0"/>
        <v>0</v>
      </c>
      <c r="L20" s="83"/>
      <c r="M20" s="8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8.75" x14ac:dyDescent="0.3">
      <c r="A21" s="1"/>
      <c r="B21" s="1"/>
      <c r="C21" s="1"/>
      <c r="D21" s="80"/>
      <c r="E21" s="36">
        <v>45639</v>
      </c>
      <c r="F21" s="39"/>
      <c r="G21" s="4"/>
      <c r="H21" s="4"/>
      <c r="I21" s="4"/>
      <c r="J21" s="42"/>
      <c r="K21" s="44">
        <f t="shared" si="0"/>
        <v>0</v>
      </c>
      <c r="L21" s="83"/>
      <c r="M21" s="8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9.5" thickBot="1" x14ac:dyDescent="0.35">
      <c r="A22" s="1"/>
      <c r="B22" s="1"/>
      <c r="C22" s="1"/>
      <c r="D22" s="80"/>
      <c r="E22" s="36">
        <v>45640</v>
      </c>
      <c r="F22" s="39"/>
      <c r="G22" s="4"/>
      <c r="H22" s="4"/>
      <c r="I22" s="4"/>
      <c r="J22" s="42"/>
      <c r="K22" s="45">
        <f t="shared" si="0"/>
        <v>0</v>
      </c>
      <c r="L22" s="83"/>
      <c r="M22" s="8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9.5" thickBot="1" x14ac:dyDescent="0.35">
      <c r="A23" s="1"/>
      <c r="B23" s="1"/>
      <c r="C23" s="1"/>
      <c r="D23" s="81"/>
      <c r="E23" s="37">
        <v>45641</v>
      </c>
      <c r="F23" s="40"/>
      <c r="G23" s="8"/>
      <c r="H23" s="8"/>
      <c r="I23" s="8"/>
      <c r="J23" s="43"/>
      <c r="K23" s="50">
        <f t="shared" si="0"/>
        <v>0</v>
      </c>
      <c r="L23" s="83"/>
      <c r="M23" s="8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9.5" thickBot="1" x14ac:dyDescent="0.35">
      <c r="A24" s="1"/>
      <c r="B24" s="1"/>
      <c r="C24" s="1"/>
      <c r="D24" s="79" t="s">
        <v>28</v>
      </c>
      <c r="E24" s="35">
        <v>45642</v>
      </c>
      <c r="F24" s="38"/>
      <c r="G24" s="6"/>
      <c r="H24" s="6"/>
      <c r="I24" s="6"/>
      <c r="J24" s="41"/>
      <c r="K24" s="49">
        <f t="shared" si="0"/>
        <v>0</v>
      </c>
      <c r="L24" s="82">
        <f>SUM(K24:K30)</f>
        <v>0</v>
      </c>
      <c r="M24" s="8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8.75" x14ac:dyDescent="0.3">
      <c r="A25" s="1"/>
      <c r="B25" s="1"/>
      <c r="C25" s="1"/>
      <c r="D25" s="80"/>
      <c r="E25" s="36">
        <v>45643</v>
      </c>
      <c r="F25" s="39"/>
      <c r="G25" s="4"/>
      <c r="H25" s="4"/>
      <c r="I25" s="4"/>
      <c r="J25" s="42"/>
      <c r="K25" s="44">
        <f t="shared" si="0"/>
        <v>0</v>
      </c>
      <c r="L25" s="83"/>
      <c r="M25" s="8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9.5" thickBot="1" x14ac:dyDescent="0.35">
      <c r="A26" s="1"/>
      <c r="B26" s="1"/>
      <c r="C26" s="1"/>
      <c r="D26" s="80"/>
      <c r="E26" s="36">
        <v>45644</v>
      </c>
      <c r="F26" s="39"/>
      <c r="G26" s="4"/>
      <c r="H26" s="4"/>
      <c r="I26" s="4"/>
      <c r="J26" s="42"/>
      <c r="K26" s="45">
        <f t="shared" si="0"/>
        <v>0</v>
      </c>
      <c r="L26" s="83"/>
      <c r="M26" s="8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.75" x14ac:dyDescent="0.3">
      <c r="A27" s="1"/>
      <c r="B27" s="1"/>
      <c r="C27" s="1"/>
      <c r="D27" s="80"/>
      <c r="E27" s="36">
        <v>45645</v>
      </c>
      <c r="F27" s="39"/>
      <c r="G27" s="4"/>
      <c r="H27" s="4"/>
      <c r="I27" s="4"/>
      <c r="J27" s="42"/>
      <c r="K27" s="44">
        <f t="shared" si="0"/>
        <v>0</v>
      </c>
      <c r="L27" s="83"/>
      <c r="M27" s="8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9.5" thickBot="1" x14ac:dyDescent="0.35">
      <c r="A28" s="1"/>
      <c r="B28" s="1"/>
      <c r="C28" s="1"/>
      <c r="D28" s="80"/>
      <c r="E28" s="36">
        <v>45646</v>
      </c>
      <c r="F28" s="39"/>
      <c r="G28" s="4"/>
      <c r="H28" s="4"/>
      <c r="I28" s="4"/>
      <c r="J28" s="42"/>
      <c r="K28" s="45">
        <f t="shared" si="0"/>
        <v>0</v>
      </c>
      <c r="L28" s="83"/>
      <c r="M28" s="8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.75" x14ac:dyDescent="0.3">
      <c r="A29" s="1"/>
      <c r="B29" s="1"/>
      <c r="C29" s="1"/>
      <c r="D29" s="80"/>
      <c r="E29" s="36">
        <v>45647</v>
      </c>
      <c r="F29" s="39"/>
      <c r="G29" s="4"/>
      <c r="H29" s="4"/>
      <c r="I29" s="4"/>
      <c r="J29" s="42"/>
      <c r="K29" s="44">
        <f t="shared" si="0"/>
        <v>0</v>
      </c>
      <c r="L29" s="83"/>
      <c r="M29" s="8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9.5" thickBot="1" x14ac:dyDescent="0.35">
      <c r="A30" s="1"/>
      <c r="B30" s="1"/>
      <c r="C30" s="1"/>
      <c r="D30" s="81"/>
      <c r="E30" s="37">
        <v>45648</v>
      </c>
      <c r="F30" s="40"/>
      <c r="G30" s="8"/>
      <c r="H30" s="8"/>
      <c r="I30" s="8"/>
      <c r="J30" s="43"/>
      <c r="K30" s="45">
        <f t="shared" si="0"/>
        <v>0</v>
      </c>
      <c r="L30" s="84"/>
      <c r="M30" s="8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8.75" x14ac:dyDescent="0.3">
      <c r="A31" s="1"/>
      <c r="B31" s="1"/>
      <c r="C31" s="1"/>
      <c r="D31" s="79" t="s">
        <v>29</v>
      </c>
      <c r="E31" s="35">
        <v>45649</v>
      </c>
      <c r="F31" s="38"/>
      <c r="G31" s="6"/>
      <c r="H31" s="6"/>
      <c r="I31" s="6"/>
      <c r="J31" s="41"/>
      <c r="K31" s="44">
        <f t="shared" si="0"/>
        <v>0</v>
      </c>
      <c r="L31" s="83">
        <f>SUM(K31:K39)</f>
        <v>0</v>
      </c>
      <c r="M31" s="8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9.5" thickBot="1" x14ac:dyDescent="0.35">
      <c r="A32" s="1"/>
      <c r="B32" s="1"/>
      <c r="C32" s="1"/>
      <c r="D32" s="80"/>
      <c r="E32" s="36">
        <v>45650</v>
      </c>
      <c r="F32" s="39"/>
      <c r="G32" s="4"/>
      <c r="H32" s="4"/>
      <c r="I32" s="4"/>
      <c r="J32" s="42"/>
      <c r="K32" s="45">
        <f t="shared" si="0"/>
        <v>0</v>
      </c>
      <c r="L32" s="83"/>
      <c r="M32" s="8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8.75" x14ac:dyDescent="0.3">
      <c r="A33" s="1"/>
      <c r="B33" s="1"/>
      <c r="C33" s="1"/>
      <c r="D33" s="80"/>
      <c r="E33" s="36">
        <v>45651</v>
      </c>
      <c r="F33" s="39"/>
      <c r="G33" s="4"/>
      <c r="H33" s="4"/>
      <c r="I33" s="4"/>
      <c r="J33" s="42"/>
      <c r="K33" s="44">
        <f t="shared" si="0"/>
        <v>0</v>
      </c>
      <c r="L33" s="83"/>
      <c r="M33" s="8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9.5" thickBot="1" x14ac:dyDescent="0.35">
      <c r="A34" s="1"/>
      <c r="B34" s="1"/>
      <c r="C34" s="1"/>
      <c r="D34" s="80"/>
      <c r="E34" s="36">
        <v>45652</v>
      </c>
      <c r="F34" s="39"/>
      <c r="G34" s="4"/>
      <c r="H34" s="4"/>
      <c r="I34" s="4"/>
      <c r="J34" s="42"/>
      <c r="K34" s="45">
        <f t="shared" si="0"/>
        <v>0</v>
      </c>
      <c r="L34" s="83"/>
      <c r="M34" s="8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8.75" x14ac:dyDescent="0.3">
      <c r="A35" s="1"/>
      <c r="B35" s="1"/>
      <c r="C35" s="1"/>
      <c r="D35" s="80"/>
      <c r="E35" s="36">
        <v>45653</v>
      </c>
      <c r="F35" s="39"/>
      <c r="G35" s="4"/>
      <c r="H35" s="4"/>
      <c r="I35" s="4"/>
      <c r="J35" s="42"/>
      <c r="K35" s="44">
        <f t="shared" si="0"/>
        <v>0</v>
      </c>
      <c r="L35" s="83"/>
      <c r="M35" s="8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9.5" thickBot="1" x14ac:dyDescent="0.35">
      <c r="A36" s="1"/>
      <c r="B36" s="1"/>
      <c r="C36" s="1"/>
      <c r="D36" s="80"/>
      <c r="E36" s="36">
        <v>45654</v>
      </c>
      <c r="F36" s="39"/>
      <c r="G36" s="4"/>
      <c r="H36" s="4"/>
      <c r="I36" s="4"/>
      <c r="J36" s="42"/>
      <c r="K36" s="45">
        <f t="shared" si="0"/>
        <v>0</v>
      </c>
      <c r="L36" s="83"/>
      <c r="M36" s="8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8.75" x14ac:dyDescent="0.3">
      <c r="A37" s="1"/>
      <c r="B37" s="1"/>
      <c r="C37" s="1"/>
      <c r="D37" s="80"/>
      <c r="E37" s="36">
        <v>45655</v>
      </c>
      <c r="F37" s="39"/>
      <c r="G37" s="4"/>
      <c r="H37" s="4"/>
      <c r="I37" s="4"/>
      <c r="J37" s="42"/>
      <c r="K37" s="44">
        <f t="shared" si="0"/>
        <v>0</v>
      </c>
      <c r="L37" s="83"/>
      <c r="M37" s="8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9.5" thickBot="1" x14ac:dyDescent="0.35">
      <c r="A38" s="1"/>
      <c r="B38" s="1"/>
      <c r="C38" s="1"/>
      <c r="D38" s="80"/>
      <c r="E38" s="46">
        <v>45656</v>
      </c>
      <c r="F38" s="39"/>
      <c r="G38" s="4"/>
      <c r="H38" s="4"/>
      <c r="I38" s="4"/>
      <c r="J38" s="42"/>
      <c r="K38" s="45">
        <f t="shared" si="0"/>
        <v>0</v>
      </c>
      <c r="L38" s="83"/>
      <c r="M38" s="8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9.5" thickBot="1" x14ac:dyDescent="0.35">
      <c r="A39" s="1"/>
      <c r="B39" s="1"/>
      <c r="C39" s="1"/>
      <c r="D39" s="81"/>
      <c r="E39" s="47">
        <v>45657</v>
      </c>
      <c r="F39" s="40"/>
      <c r="G39" s="8"/>
      <c r="H39" s="8"/>
      <c r="I39" s="8"/>
      <c r="J39" s="43"/>
      <c r="K39" s="50">
        <f t="shared" si="0"/>
        <v>0</v>
      </c>
      <c r="L39" s="84"/>
      <c r="M39" s="8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</sheetData>
  <mergeCells count="17">
    <mergeCell ref="F7:J7"/>
    <mergeCell ref="K7:K8"/>
    <mergeCell ref="L7:L8"/>
    <mergeCell ref="M7:M8"/>
    <mergeCell ref="D4:M4"/>
    <mergeCell ref="D5:M6"/>
    <mergeCell ref="E7:E8"/>
    <mergeCell ref="D7:D8"/>
    <mergeCell ref="M9:M39"/>
    <mergeCell ref="L9:L16"/>
    <mergeCell ref="L17:L23"/>
    <mergeCell ref="L24:L30"/>
    <mergeCell ref="D9:D16"/>
    <mergeCell ref="D17:D23"/>
    <mergeCell ref="D24:D30"/>
    <mergeCell ref="L31:L39"/>
    <mergeCell ref="D31:D39"/>
  </mergeCells>
  <conditionalFormatting sqref="F9:J39">
    <cfRule type="cellIs" dxfId="9" priority="7" operator="equal">
      <formula>"-"</formula>
    </cfRule>
    <cfRule type="cellIs" dxfId="8" priority="8" operator="lessThan">
      <formula>0</formula>
    </cfRule>
    <cfRule type="cellIs" dxfId="7" priority="9" operator="greaterThan">
      <formula>0</formula>
    </cfRule>
    <cfRule type="cellIs" dxfId="6" priority="10" operator="equal">
      <formula>0</formula>
    </cfRule>
    <cfRule type="cellIs" dxfId="5" priority="11" operator="equal">
      <formula>0</formula>
    </cfRule>
  </conditionalFormatting>
  <conditionalFormatting sqref="K9:K39">
    <cfRule type="cellIs" dxfId="4" priority="4" operator="greaterThan">
      <formula>201</formula>
    </cfRule>
    <cfRule type="cellIs" dxfId="3" priority="5" operator="between">
      <formula>1</formula>
      <formula>99</formula>
    </cfRule>
    <cfRule type="cellIs" dxfId="2" priority="6" operator="between">
      <formula>100</formula>
      <formula>200</formula>
    </cfRule>
  </conditionalFormatting>
  <conditionalFormatting sqref="L9:M39">
    <cfRule type="cellIs" dxfId="1" priority="1" operator="lessThan">
      <formula>0</formula>
    </cfRule>
    <cfRule type="cellIs" dxfId="0" priority="2" operator="greaterThan">
      <formula>0</formula>
    </cfRule>
    <cfRule type="cellIs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9146-4180-44DF-973E-61C070CE6B48}">
  <dimension ref="B3:B28"/>
  <sheetViews>
    <sheetView topLeftCell="A4" zoomScale="205" zoomScaleNormal="205" workbookViewId="0">
      <selection activeCell="F8" sqref="F8"/>
    </sheetView>
  </sheetViews>
  <sheetFormatPr defaultRowHeight="15" x14ac:dyDescent="0.25"/>
  <cols>
    <col min="2" max="2" width="53.85546875" bestFit="1" customWidth="1"/>
  </cols>
  <sheetData>
    <row r="3" spans="2:2" x14ac:dyDescent="0.25">
      <c r="B3" s="52"/>
    </row>
    <row r="4" spans="2:2" ht="18.75" x14ac:dyDescent="0.3">
      <c r="B4" s="1"/>
    </row>
    <row r="5" spans="2:2" ht="18.75" x14ac:dyDescent="0.3">
      <c r="B5" s="1" t="s">
        <v>35</v>
      </c>
    </row>
    <row r="6" spans="2:2" ht="18.75" x14ac:dyDescent="0.3">
      <c r="B6" s="1" t="s">
        <v>36</v>
      </c>
    </row>
    <row r="7" spans="2:2" ht="18.75" x14ac:dyDescent="0.25">
      <c r="B7" s="53" t="s">
        <v>37</v>
      </c>
    </row>
    <row r="8" spans="2:2" ht="37.5" x14ac:dyDescent="0.3">
      <c r="B8" s="54" t="s">
        <v>38</v>
      </c>
    </row>
    <row r="9" spans="2:2" ht="18.75" x14ac:dyDescent="0.3">
      <c r="B9" s="1" t="s">
        <v>39</v>
      </c>
    </row>
    <row r="10" spans="2:2" ht="18.75" x14ac:dyDescent="0.3">
      <c r="B10" s="1"/>
    </row>
    <row r="11" spans="2:2" ht="18.75" x14ac:dyDescent="0.3">
      <c r="B11" s="1"/>
    </row>
    <row r="12" spans="2:2" ht="18.75" x14ac:dyDescent="0.3">
      <c r="B12" s="1"/>
    </row>
    <row r="13" spans="2:2" ht="18.75" x14ac:dyDescent="0.3">
      <c r="B13" s="1"/>
    </row>
    <row r="14" spans="2:2" ht="18.75" x14ac:dyDescent="0.3">
      <c r="B14" s="1"/>
    </row>
    <row r="15" spans="2:2" ht="18.75" x14ac:dyDescent="0.3">
      <c r="B15" s="1"/>
    </row>
    <row r="16" spans="2:2" ht="18.75" x14ac:dyDescent="0.3">
      <c r="B16" s="1"/>
    </row>
    <row r="17" spans="2:2" ht="18.75" x14ac:dyDescent="0.3">
      <c r="B17" s="1"/>
    </row>
    <row r="18" spans="2:2" ht="18.75" x14ac:dyDescent="0.3">
      <c r="B18" s="1"/>
    </row>
    <row r="19" spans="2:2" x14ac:dyDescent="0.25">
      <c r="B19" s="52"/>
    </row>
    <row r="20" spans="2:2" x14ac:dyDescent="0.25">
      <c r="B20" s="52"/>
    </row>
    <row r="21" spans="2:2" x14ac:dyDescent="0.25">
      <c r="B21" s="52"/>
    </row>
    <row r="22" spans="2:2" x14ac:dyDescent="0.25">
      <c r="B22" s="52"/>
    </row>
    <row r="23" spans="2:2" x14ac:dyDescent="0.25">
      <c r="B23" s="52"/>
    </row>
    <row r="24" spans="2:2" x14ac:dyDescent="0.25">
      <c r="B24" s="52"/>
    </row>
    <row r="25" spans="2:2" x14ac:dyDescent="0.25">
      <c r="B25" s="52"/>
    </row>
    <row r="26" spans="2:2" x14ac:dyDescent="0.25">
      <c r="B26" s="52"/>
    </row>
    <row r="27" spans="2:2" x14ac:dyDescent="0.25">
      <c r="B27" s="52"/>
    </row>
    <row r="28" spans="2:2" x14ac:dyDescent="0.25">
      <c r="B28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2E51-7600-4308-BAF8-913D77661708}">
  <dimension ref="B3:B17"/>
  <sheetViews>
    <sheetView zoomScale="190" zoomScaleNormal="190" workbookViewId="0">
      <selection activeCell="E12" sqref="E12"/>
    </sheetView>
  </sheetViews>
  <sheetFormatPr defaultRowHeight="15" x14ac:dyDescent="0.25"/>
  <cols>
    <col min="2" max="2" width="44.85546875" customWidth="1"/>
  </cols>
  <sheetData>
    <row r="3" spans="2:2" ht="18.75" x14ac:dyDescent="0.3">
      <c r="B3" s="1" t="s">
        <v>40</v>
      </c>
    </row>
    <row r="4" spans="2:2" ht="19.5" thickBot="1" x14ac:dyDescent="0.35">
      <c r="B4" s="1" t="s">
        <v>41</v>
      </c>
    </row>
    <row r="5" spans="2:2" ht="19.5" thickBot="1" x14ac:dyDescent="0.35">
      <c r="B5" s="55" t="s">
        <v>42</v>
      </c>
    </row>
    <row r="6" spans="2:2" ht="18.75" x14ac:dyDescent="0.3">
      <c r="B6" s="1" t="s">
        <v>43</v>
      </c>
    </row>
    <row r="7" spans="2:2" ht="18.75" x14ac:dyDescent="0.3">
      <c r="B7" s="1" t="s">
        <v>44</v>
      </c>
    </row>
    <row r="8" spans="2:2" ht="18.75" x14ac:dyDescent="0.3">
      <c r="B8" s="1"/>
    </row>
    <row r="9" spans="2:2" ht="18.75" x14ac:dyDescent="0.3">
      <c r="B9" s="1"/>
    </row>
    <row r="10" spans="2:2" ht="18.75" x14ac:dyDescent="0.3">
      <c r="B10" s="1"/>
    </row>
    <row r="11" spans="2:2" ht="18.75" x14ac:dyDescent="0.3">
      <c r="B11" s="1"/>
    </row>
    <row r="12" spans="2:2" ht="18.75" x14ac:dyDescent="0.3">
      <c r="B12" s="1"/>
    </row>
    <row r="13" spans="2:2" ht="18.75" x14ac:dyDescent="0.3">
      <c r="B13" s="1"/>
    </row>
    <row r="14" spans="2:2" ht="18.75" x14ac:dyDescent="0.3">
      <c r="B14" s="1"/>
    </row>
    <row r="15" spans="2:2" ht="18.75" x14ac:dyDescent="0.3">
      <c r="B15" s="1"/>
    </row>
    <row r="16" spans="2:2" ht="18.75" x14ac:dyDescent="0.3">
      <c r="B16" s="1"/>
    </row>
    <row r="17" spans="2:2" ht="18.75" x14ac:dyDescent="0.3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November Results</vt:lpstr>
      <vt:lpstr>December</vt:lpstr>
      <vt:lpstr>December Results </vt:lpstr>
      <vt:lpstr>Time Management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CHANSOPHAL</dc:creator>
  <cp:lastModifiedBy>SON CHANSOPHAL</cp:lastModifiedBy>
  <dcterms:created xsi:type="dcterms:W3CDTF">2024-11-07T06:06:30Z</dcterms:created>
  <dcterms:modified xsi:type="dcterms:W3CDTF">2024-12-12T15:56:07Z</dcterms:modified>
</cp:coreProperties>
</file>